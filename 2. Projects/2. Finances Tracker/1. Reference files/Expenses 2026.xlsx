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D:\Life\"/>
    </mc:Choice>
  </mc:AlternateContent>
  <xr:revisionPtr revIDLastSave="0" documentId="13_ncr:1_{18643587-5D67-4C7A-B559-5FBE20013B93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Pay dates" sheetId="14" state="hidden" r:id="rId1"/>
    <sheet name="Summary" sheetId="1" r:id="rId2"/>
    <sheet name="Mar-26" sheetId="61" r:id="rId3"/>
    <sheet name="Feb-26" sheetId="60" r:id="rId4"/>
    <sheet name="Jan-26" sheetId="59" r:id="rId5"/>
    <sheet name="Next house" sheetId="56" r:id="rId6"/>
    <sheet name="expenses" sheetId="53" r:id="rId7"/>
    <sheet name="list" sheetId="15" state="hidden" r:id="rId8"/>
  </sheets>
  <definedNames>
    <definedName name="_xlnm._FilterDatabase" localSheetId="6" hidden="1">expenses!$E$11:$G$106</definedName>
    <definedName name="_xlnm._FilterDatabase" localSheetId="3" hidden="1">'Feb-26'!$E$11:$G$114</definedName>
    <definedName name="_xlnm._FilterDatabase" localSheetId="4" hidden="1">'Jan-26'!$E$11:$G$114</definedName>
    <definedName name="_xlnm._FilterDatabase" localSheetId="2" hidden="1">'Mar-26'!$E$11:$G$114</definedName>
    <definedName name="valuevx">42.314159</definedName>
    <definedName name="vertex42_copyright">"© 2019 Vertex42 LLC"</definedName>
    <definedName name="vertex42_id">"project-budget-detailed.xlsx"</definedName>
    <definedName name="vertex42_title">"Project Budget Template"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9" roundtripDataSignature="AMtx7miUylxjw5ToeNlH9Wy8HmPzMP2kAw=="/>
    </ext>
  </extLst>
</workbook>
</file>

<file path=xl/calcChain.xml><?xml version="1.0" encoding="utf-8"?>
<calcChain xmlns="http://schemas.openxmlformats.org/spreadsheetml/2006/main">
  <c r="C5" i="61" l="1"/>
  <c r="G9" i="61"/>
  <c r="C7" i="60"/>
  <c r="C8" i="60"/>
  <c r="C19" i="60"/>
  <c r="N9" i="61"/>
  <c r="M9" i="61"/>
  <c r="J9" i="61"/>
  <c r="C9" i="61"/>
  <c r="F7" i="61"/>
  <c r="C7" i="61"/>
  <c r="F6" i="61"/>
  <c r="F5" i="61"/>
  <c r="N22" i="1"/>
  <c r="N21" i="1"/>
  <c r="N25" i="1"/>
  <c r="J6" i="1"/>
  <c r="J7" i="1"/>
  <c r="J8" i="1"/>
  <c r="J9" i="1"/>
  <c r="J10" i="1"/>
  <c r="J11" i="1"/>
  <c r="J12" i="1"/>
  <c r="J5" i="1"/>
  <c r="N19" i="1"/>
  <c r="N7" i="1"/>
  <c r="M7" i="1"/>
  <c r="L7" i="1"/>
  <c r="O7" i="1"/>
  <c r="C8" i="59"/>
  <c r="C5" i="60"/>
  <c r="C9" i="60" s="1"/>
  <c r="C7" i="1" s="1"/>
  <c r="C19" i="59"/>
  <c r="N9" i="60"/>
  <c r="M9" i="60"/>
  <c r="J9" i="60"/>
  <c r="F7" i="60"/>
  <c r="F6" i="60"/>
  <c r="F5" i="60"/>
  <c r="F5" i="59"/>
  <c r="N27" i="1"/>
  <c r="G5" i="61" l="1"/>
  <c r="G6" i="61"/>
  <c r="G7" i="61"/>
  <c r="F8" i="61"/>
  <c r="F9" i="61" s="1"/>
  <c r="J19" i="61"/>
  <c r="J18" i="61"/>
  <c r="J17" i="61"/>
  <c r="J16" i="61"/>
  <c r="J15" i="61"/>
  <c r="J14" i="61"/>
  <c r="J12" i="61"/>
  <c r="J13" i="61"/>
  <c r="D7" i="1"/>
  <c r="F8" i="60"/>
  <c r="G7" i="60"/>
  <c r="G6" i="60"/>
  <c r="G5" i="60"/>
  <c r="O6" i="1"/>
  <c r="N6" i="1"/>
  <c r="M6" i="1"/>
  <c r="L6" i="1"/>
  <c r="F6" i="59"/>
  <c r="D23" i="1"/>
  <c r="J9" i="59"/>
  <c r="J19" i="60" l="1"/>
  <c r="J12" i="60"/>
  <c r="J13" i="60"/>
  <c r="J15" i="60"/>
  <c r="J17" i="60"/>
  <c r="J16" i="60"/>
  <c r="J18" i="60"/>
  <c r="J14" i="60"/>
  <c r="M9" i="59"/>
  <c r="N9" i="59"/>
  <c r="F7" i="59"/>
  <c r="D6" i="1" s="1"/>
  <c r="C7" i="59"/>
  <c r="C9" i="59" s="1"/>
  <c r="C6" i="1" s="1"/>
  <c r="J19" i="1"/>
  <c r="F7" i="1" l="1"/>
  <c r="G7" i="1"/>
  <c r="E7" i="1"/>
  <c r="E24" i="1"/>
  <c r="G7" i="59"/>
  <c r="G5" i="59"/>
  <c r="F5" i="56"/>
  <c r="I4" i="56" s="1"/>
  <c r="J5" i="56" s="1"/>
  <c r="F6" i="56"/>
  <c r="C10" i="56"/>
  <c r="J25" i="53"/>
  <c r="M7" i="53"/>
  <c r="J7" i="53"/>
  <c r="J9" i="53" s="1"/>
  <c r="M6" i="53"/>
  <c r="M5" i="53"/>
  <c r="C25" i="53"/>
  <c r="C7" i="53"/>
  <c r="C9" i="53" s="1"/>
  <c r="F6" i="53"/>
  <c r="F5" i="53"/>
  <c r="F12" i="56" l="1"/>
  <c r="C12" i="56" s="1"/>
  <c r="G5" i="53"/>
  <c r="N5" i="53"/>
  <c r="M8" i="53"/>
  <c r="F8" i="53"/>
  <c r="F24" i="1" l="1"/>
  <c r="C19" i="1" l="1"/>
  <c r="F8" i="59" l="1"/>
  <c r="D19" i="1"/>
  <c r="G6" i="59"/>
  <c r="J18" i="59" s="1"/>
  <c r="F6" i="1" l="1"/>
  <c r="J28" i="1"/>
  <c r="J15" i="59"/>
  <c r="J25" i="1" s="1"/>
  <c r="J13" i="59"/>
  <c r="J23" i="1" s="1"/>
  <c r="J17" i="59"/>
  <c r="J27" i="1" s="1"/>
  <c r="J14" i="59"/>
  <c r="J24" i="1" s="1"/>
  <c r="J12" i="59"/>
  <c r="J22" i="1" s="1"/>
  <c r="J19" i="59"/>
  <c r="J16" i="59"/>
  <c r="J26" i="1" s="1"/>
  <c r="G6" i="1" l="1"/>
  <c r="J29" i="1"/>
  <c r="J31" i="1"/>
  <c r="E6" i="1"/>
  <c r="E19" i="1" s="1"/>
  <c r="F19" i="1"/>
  <c r="E22" i="1" s="1"/>
  <c r="R5" i="1"/>
  <c r="F22" i="1" l="1"/>
  <c r="G19" i="1"/>
  <c r="E23" i="1" s="1"/>
  <c r="F23" i="1" s="1"/>
  <c r="S5" i="1"/>
  <c r="T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tc={4274873F-A4BC-40F3-BB16-721CCA0F891C}</author>
  </authors>
  <commentList>
    <comment ref="C5" authorId="0" shapeId="0" xr:uid="{4274873F-A4BC-40F3-BB16-721CCA0F891C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2024: £2.400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tc={D69FEA1B-A00D-4F67-B456-02933C9FED95}</author>
  </authors>
  <commentList>
    <comment ref="C5" authorId="0" shapeId="0" xr:uid="{D69FEA1B-A00D-4F67-B456-02933C9FED95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2024: £2.400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tc={D98B294D-2397-4C34-B8E3-33890EF10D12}</author>
    <author>tc={C9B93C9C-DBAF-4C07-B577-7FE9760DE3B3}</author>
  </authors>
  <commentList>
    <comment ref="C5" authorId="0" shapeId="0" xr:uid="{D98B294D-2397-4C34-B8E3-33890EF10D12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2024: £2.400</t>
      </text>
    </comment>
    <comment ref="C8" authorId="1" shapeId="0" xr:uid="{C9B93C9C-DBAF-4C07-B577-7FE9760DE3B3}">
      <text>
        <t>[Threaded comment]
Your version of Excel allows you to read this threaded comment; however, any edits to it will get removed if the file is opened in a newer version of Excel. Learn more: https://go.microsoft.com/fwlink/?linkid=870924
Comment:
    420 from Feb moved to Jan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tc={C7625554-3C2F-45DE-826E-6768D76743BD}</author>
    <author>tc={9A45AFB3-10A5-4ACF-A140-A00FC7E44C5C}</author>
  </authors>
  <commentList>
    <comment ref="C5" authorId="0" shapeId="0" xr:uid="{C7625554-3C2F-45DE-826E-6768D76743BD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2024: £2.400</t>
      </text>
    </comment>
    <comment ref="J5" authorId="1" shapeId="0" xr:uid="{9A45AFB3-10A5-4ACF-A140-A00FC7E44C5C}">
      <text>
        <t>[Threaded comment]
Your version of Excel allows you to read this threaded comment; however, any edits to it will get removed if the file is opened in a newer version of Excel. Learn more: https://go.microsoft.com/fwlink/?linkid=870924
Comment:
    Jan 2024: £2.400</t>
      </text>
    </comment>
  </commentList>
</comments>
</file>

<file path=xl/sharedStrings.xml><?xml version="1.0" encoding="utf-8"?>
<sst xmlns="http://schemas.openxmlformats.org/spreadsheetml/2006/main" count="808" uniqueCount="240">
  <si>
    <t>Totals</t>
  </si>
  <si>
    <t>Savings</t>
  </si>
  <si>
    <t>Total fixed expenses</t>
  </si>
  <si>
    <t>Total extra expenses</t>
  </si>
  <si>
    <t>Month</t>
  </si>
  <si>
    <t>In</t>
  </si>
  <si>
    <t>Out</t>
  </si>
  <si>
    <t>Balance</t>
  </si>
  <si>
    <t>Overpayments</t>
  </si>
  <si>
    <t>Emergency</t>
  </si>
  <si>
    <t>Matteo</t>
  </si>
  <si>
    <t>Lucas</t>
  </si>
  <si>
    <t>Mortgage (M)</t>
  </si>
  <si>
    <t>Groceries</t>
  </si>
  <si>
    <t>Jan</t>
  </si>
  <si>
    <t>Leisure / Include day outs</t>
  </si>
  <si>
    <t>Feb</t>
  </si>
  <si>
    <t>DVLA (C)</t>
  </si>
  <si>
    <t>Others (Not essential)</t>
  </si>
  <si>
    <t>Mar</t>
  </si>
  <si>
    <t>Others (Essential)</t>
  </si>
  <si>
    <t>Apr</t>
  </si>
  <si>
    <t>Holidays</t>
  </si>
  <si>
    <t>May</t>
  </si>
  <si>
    <t>Water (C)</t>
  </si>
  <si>
    <t>Clothing</t>
  </si>
  <si>
    <t>Jun</t>
  </si>
  <si>
    <t>Jul</t>
  </si>
  <si>
    <t>Electricity + Gas(Bulb) (C)</t>
  </si>
  <si>
    <t>Overpayment</t>
  </si>
  <si>
    <t>Aug</t>
  </si>
  <si>
    <t>Ageas (M)</t>
  </si>
  <si>
    <t>Sep</t>
  </si>
  <si>
    <t>Phones (three) (F)</t>
  </si>
  <si>
    <t>Total</t>
  </si>
  <si>
    <t>Oct</t>
  </si>
  <si>
    <t>Nov</t>
  </si>
  <si>
    <t>Dec</t>
  </si>
  <si>
    <t>Goals</t>
  </si>
  <si>
    <t>Actual</t>
  </si>
  <si>
    <t>%</t>
  </si>
  <si>
    <t>Interest</t>
  </si>
  <si>
    <t>Direct debt Dates</t>
  </si>
  <si>
    <t>Expenses</t>
  </si>
  <si>
    <t>Day</t>
  </si>
  <si>
    <t>Mortgage or rent</t>
  </si>
  <si>
    <t>Council Tax</t>
  </si>
  <si>
    <t>Phone Fab and Martina</t>
  </si>
  <si>
    <t>Electricity + Gas</t>
  </si>
  <si>
    <t>Ageas</t>
  </si>
  <si>
    <t>Water</t>
  </si>
  <si>
    <t>TV Licence</t>
  </si>
  <si>
    <t>Internet (Talk Talk)</t>
  </si>
  <si>
    <t>Adobe</t>
  </si>
  <si>
    <t>Amazon prime+Kindle</t>
  </si>
  <si>
    <t xml:space="preserve">WW </t>
  </si>
  <si>
    <t>Aviva</t>
  </si>
  <si>
    <t>DVLA 2</t>
  </si>
  <si>
    <t>DVLA 1</t>
  </si>
  <si>
    <t>Income</t>
  </si>
  <si>
    <t>Start of the month</t>
  </si>
  <si>
    <t>Diff</t>
  </si>
  <si>
    <t>Fabricio Rocha</t>
  </si>
  <si>
    <r>
      <rPr>
        <sz val="12"/>
        <color theme="1"/>
        <rFont val="Lucida Sans"/>
        <family val="2"/>
      </rPr>
      <t xml:space="preserve">Total </t>
    </r>
    <r>
      <rPr>
        <b/>
        <sz val="12"/>
        <color theme="1"/>
        <rFont val="Lucida Sans"/>
        <family val="2"/>
      </rPr>
      <t>Fixed</t>
    </r>
    <r>
      <rPr>
        <sz val="12"/>
        <color theme="1"/>
        <rFont val="Lucida Sans"/>
        <family val="2"/>
      </rPr>
      <t xml:space="preserve"> expenses</t>
    </r>
  </si>
  <si>
    <t>Martina Sanna</t>
  </si>
  <si>
    <r>
      <rPr>
        <sz val="12"/>
        <color theme="1"/>
        <rFont val="Lucida Sans"/>
        <family val="2"/>
      </rPr>
      <t xml:space="preserve">Total </t>
    </r>
    <r>
      <rPr>
        <b/>
        <sz val="12"/>
        <color theme="1"/>
        <rFont val="Lucida Sans"/>
        <family val="2"/>
      </rPr>
      <t>Other</t>
    </r>
    <r>
      <rPr>
        <sz val="12"/>
        <color theme="1"/>
        <rFont val="Lucida Sans"/>
        <family val="2"/>
      </rPr>
      <t xml:space="preserve"> expenses</t>
    </r>
  </si>
  <si>
    <t>Child Benefits</t>
  </si>
  <si>
    <t>"One off" big expenses</t>
  </si>
  <si>
    <t>Other's</t>
  </si>
  <si>
    <t>Total monthly income</t>
  </si>
  <si>
    <t>Monthly expenses</t>
  </si>
  <si>
    <t>Cost</t>
  </si>
  <si>
    <t>Other expenses</t>
  </si>
  <si>
    <t>Type</t>
  </si>
  <si>
    <t>Lucas - Rainy Day Saver (Barclays</t>
  </si>
  <si>
    <t>January</t>
  </si>
  <si>
    <t>Select type</t>
  </si>
  <si>
    <t>Difference</t>
  </si>
  <si>
    <t>`</t>
  </si>
  <si>
    <t>.</t>
  </si>
  <si>
    <t>SubTotal</t>
  </si>
  <si>
    <t>Balance and over</t>
  </si>
  <si>
    <t>£5,001 and over</t>
  </si>
  <si>
    <t>£1 - £5,000</t>
  </si>
  <si>
    <t>Gross pa %</t>
  </si>
  <si>
    <t>AER %</t>
  </si>
  <si>
    <t>Matteo - Blue Rewards Saver</t>
  </si>
  <si>
    <t>£1 and over</t>
  </si>
  <si>
    <t>Lower rate</t>
  </si>
  <si>
    <t>Others big one off expenses</t>
  </si>
  <si>
    <t>Other</t>
  </si>
  <si>
    <t xml:space="preserve">Total Interest: </t>
  </si>
  <si>
    <t>Discrepancy</t>
  </si>
  <si>
    <t>Barclaycard</t>
  </si>
  <si>
    <t xml:space="preserve"> </t>
  </si>
  <si>
    <t>Money taken from savings</t>
  </si>
  <si>
    <t>Mortgage (36 woodlea Grove)</t>
  </si>
  <si>
    <t>Mortgage (New House)</t>
  </si>
  <si>
    <t>Aviva (36 woodlea Grove)</t>
  </si>
  <si>
    <t>Council Tax (36 woodlea Grove)</t>
  </si>
  <si>
    <t>Ageas (M) (36 woodlea Grove)</t>
  </si>
  <si>
    <t>Electricity + Gas(Bulb) © (36 woodlea Grove)</t>
  </si>
  <si>
    <t>Water (36 woodlea Grove)</t>
  </si>
  <si>
    <t>Council Tax (New House)</t>
  </si>
  <si>
    <t>Not essentials</t>
  </si>
  <si>
    <t>Leisure</t>
  </si>
  <si>
    <t>Kids clubs + others Kids stuff</t>
  </si>
  <si>
    <t>agency</t>
  </si>
  <si>
    <t>Aviva (New House)</t>
  </si>
  <si>
    <t>Two houses</t>
  </si>
  <si>
    <t>Woodlea Grove rented</t>
  </si>
  <si>
    <t>Emergency 36 woodlea grove</t>
  </si>
  <si>
    <t>Stamp duty</t>
  </si>
  <si>
    <t>Equity we can take out</t>
  </si>
  <si>
    <t>Italy (gift)</t>
  </si>
  <si>
    <t>MRL (dividends)</t>
  </si>
  <si>
    <t>Quanto precisamos para uma casa de:</t>
  </si>
  <si>
    <t>10% deposit</t>
  </si>
  <si>
    <t>Solicitor</t>
  </si>
  <si>
    <t>Others (surveys etc)</t>
  </si>
  <si>
    <t>Term</t>
  </si>
  <si>
    <t>Woodlea grove penalty</t>
  </si>
  <si>
    <t>Mortgate</t>
  </si>
  <si>
    <t xml:space="preserve">Total </t>
  </si>
  <si>
    <t>2026 Summary</t>
  </si>
  <si>
    <t xml:space="preserve">Total in Savings: </t>
  </si>
  <si>
    <t>Total Income</t>
  </si>
  <si>
    <t>% of income</t>
  </si>
  <si>
    <t>Leisure / Days out</t>
  </si>
  <si>
    <t>Emergency  - Blue Rewards Saver</t>
  </si>
  <si>
    <t>As of today</t>
  </si>
  <si>
    <t>D</t>
  </si>
  <si>
    <t>M</t>
  </si>
  <si>
    <t>F</t>
  </si>
  <si>
    <t>J</t>
  </si>
  <si>
    <t>Council Tax (J)</t>
  </si>
  <si>
    <t>Electricity + Gas(Bulb) (J)</t>
  </si>
  <si>
    <t>Water (J)</t>
  </si>
  <si>
    <t>Aviva (J)</t>
  </si>
  <si>
    <t>DVLA (J)</t>
  </si>
  <si>
    <t>% Total</t>
  </si>
  <si>
    <t>Quanto temos hoje (Jan 2026)</t>
  </si>
  <si>
    <t>Monthly payments</t>
  </si>
  <si>
    <t>Ozzies Matteo</t>
  </si>
  <si>
    <t>Amazon</t>
  </si>
  <si>
    <t>Blue Rewards</t>
  </si>
  <si>
    <t>Blink</t>
  </si>
  <si>
    <t>Yeadon Barber</t>
  </si>
  <si>
    <t>AA</t>
  </si>
  <si>
    <t>Sparkling Water - Sprive</t>
  </si>
  <si>
    <t>Sportsdirect</t>
  </si>
  <si>
    <t>Asda</t>
  </si>
  <si>
    <t>TV license</t>
  </si>
  <si>
    <t>Prime</t>
  </si>
  <si>
    <t>AMEX TP 260.86 PAID</t>
  </si>
  <si>
    <t>LegoLand</t>
  </si>
  <si>
    <t>Trail Shoes</t>
  </si>
  <si>
    <t>Card Factory</t>
  </si>
  <si>
    <t>Morrisons</t>
  </si>
  <si>
    <t>Swimming</t>
  </si>
  <si>
    <t>Rocksteady</t>
  </si>
  <si>
    <t>Infinity</t>
  </si>
  <si>
    <t>Gregs</t>
  </si>
  <si>
    <t>Rachel</t>
  </si>
  <si>
    <t>Rebecca Bennet</t>
  </si>
  <si>
    <t>Sprive</t>
  </si>
  <si>
    <t>Leeds Becket Uni</t>
  </si>
  <si>
    <t>Matteo Party</t>
  </si>
  <si>
    <t>Companies House</t>
  </si>
  <si>
    <t xml:space="preserve">AVG Interest p/ month: </t>
  </si>
  <si>
    <t>Gifts from Italy</t>
  </si>
  <si>
    <t>Divident MRL</t>
  </si>
  <si>
    <t>Aldi</t>
  </si>
  <si>
    <t>Multisports</t>
  </si>
  <si>
    <t>Car Wash</t>
  </si>
  <si>
    <t>Prints</t>
  </si>
  <si>
    <t>Bus</t>
  </si>
  <si>
    <t>Saintsburys</t>
  </si>
  <si>
    <t>Stump Cross Caverns</t>
  </si>
  <si>
    <t>Amazon dunbbells</t>
  </si>
  <si>
    <t>Netflix</t>
  </si>
  <si>
    <t>Trading 212</t>
  </si>
  <si>
    <t>Other - Trading 212</t>
  </si>
  <si>
    <t xml:space="preserve">Robot Vaccum </t>
  </si>
  <si>
    <t>Sprive Asda</t>
  </si>
  <si>
    <t>Sprive Morrisons</t>
  </si>
  <si>
    <t>refunded</t>
  </si>
  <si>
    <t>Poker win</t>
  </si>
  <si>
    <t>Windows</t>
  </si>
  <si>
    <t>GDK Leeds</t>
  </si>
  <si>
    <t>Climbing Lab</t>
  </si>
  <si>
    <t>Cinema</t>
  </si>
  <si>
    <t>PureGym</t>
  </si>
  <si>
    <t>Crossfit</t>
  </si>
  <si>
    <t>HP Ink</t>
  </si>
  <si>
    <t>HobbyCraft</t>
  </si>
  <si>
    <t>Dentist</t>
  </si>
  <si>
    <t>Dentist kids</t>
  </si>
  <si>
    <t>Gynastics</t>
  </si>
  <si>
    <t>February</t>
  </si>
  <si>
    <t>Sprive M&amp;S</t>
  </si>
  <si>
    <t>Card factory</t>
  </si>
  <si>
    <t>Kids about Tarn</t>
  </si>
  <si>
    <t>Parking fine</t>
  </si>
  <si>
    <t>Rain jacket</t>
  </si>
  <si>
    <t>Tradind 212</t>
  </si>
  <si>
    <t>Carpet materials</t>
  </si>
  <si>
    <t>Blue rewards</t>
  </si>
  <si>
    <t>Hotel training run</t>
  </si>
  <si>
    <t>Ultimate garage</t>
  </si>
  <si>
    <t>Tv license</t>
  </si>
  <si>
    <t>M&amp;S</t>
  </si>
  <si>
    <t>WOW</t>
  </si>
  <si>
    <t>Sheilas Wheels Insur.</t>
  </si>
  <si>
    <t>extra</t>
  </si>
  <si>
    <t>Apple</t>
  </si>
  <si>
    <t>Natalie Dunn</t>
  </si>
  <si>
    <t>JB Wilkinson And Son</t>
  </si>
  <si>
    <t>Greggs</t>
  </si>
  <si>
    <t>Tiny tea room</t>
  </si>
  <si>
    <t>Mac</t>
  </si>
  <si>
    <t>Tk Maxx</t>
  </si>
  <si>
    <t>Savings Trading 212</t>
  </si>
  <si>
    <t>Lego</t>
  </si>
  <si>
    <t>Royal armouries</t>
  </si>
  <si>
    <t>Roral Armouries</t>
  </si>
  <si>
    <t>Leeds Becket</t>
  </si>
  <si>
    <t>HP ink</t>
  </si>
  <si>
    <t>Bristow</t>
  </si>
  <si>
    <t>Post office</t>
  </si>
  <si>
    <t>Parent pay</t>
  </si>
  <si>
    <t>Barber</t>
  </si>
  <si>
    <t>Temu Simo gift</t>
  </si>
  <si>
    <t>Carpet fitting</t>
  </si>
  <si>
    <t>Crag house</t>
  </si>
  <si>
    <t>Decatlhon</t>
  </si>
  <si>
    <t>Argos</t>
  </si>
  <si>
    <t>Homesense</t>
  </si>
  <si>
    <t>Tarn</t>
  </si>
  <si>
    <t>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</si>
</sst>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£&quot;#,##0.00;[Red]\-&quot;£&quot;#,##0.00"/>
    <numFmt numFmtId="44" formatCode="_-&quot;£&quot;* #,##0.00_-;\-&quot;£&quot;* #,##0.00_-;_-&quot;£&quot;* &quot;-&quot;??_-;_-@_-"/>
    <numFmt numFmtId="164" formatCode="&quot;£&quot;#,##0.00"/>
    <numFmt numFmtId="165" formatCode="_-[$£-809]* #,##0.00_-;\-[$£-809]* #,##0.00_-;_-[$£-809]* &quot;-&quot;??_-;_-@"/>
    <numFmt numFmtId="166" formatCode="_-[$£-809]* #,##0.00_-;\-[$£-809]* #,##0.00_-;_-[$£-809]* &quot;-&quot;??_-;_-@_-"/>
    <numFmt numFmtId="167" formatCode="[$£-809]#,##0.00"/>
  </numFmts>
  <fonts count="71" x14ac:knownFonts="1">
    <font>
      <sz val="10"/>
      <color rgb="FF3F3F3F"/>
      <name val="Arial"/>
      <scheme val="minor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sz val="11"/>
      <color theme="1"/>
      <name val="Lucida Sans"/>
      <family val="2"/>
    </font>
    <font>
      <sz val="11"/>
      <color rgb="FF000000"/>
      <name val="Lucida Sans"/>
      <family val="2"/>
    </font>
    <font>
      <sz val="10"/>
      <color theme="1"/>
      <name val="Lucida Sans"/>
      <family val="2"/>
    </font>
    <font>
      <sz val="9"/>
      <color rgb="FF000000"/>
      <name val="Lucida Sans"/>
      <family val="2"/>
    </font>
    <font>
      <sz val="10"/>
      <name val="Arial"/>
      <family val="2"/>
    </font>
    <font>
      <sz val="9"/>
      <color theme="0"/>
      <name val="Lucida Sans"/>
      <family val="2"/>
    </font>
    <font>
      <sz val="10"/>
      <color rgb="FF3F3F3F"/>
      <name val="Lucida Sans"/>
      <family val="2"/>
    </font>
    <font>
      <b/>
      <sz val="10"/>
      <color rgb="FF3F3F3F"/>
      <name val="Lucida Sans"/>
      <family val="2"/>
    </font>
    <font>
      <sz val="10"/>
      <color rgb="FF3F3F3F"/>
      <name val="Rockwell"/>
      <family val="1"/>
    </font>
    <font>
      <b/>
      <sz val="13"/>
      <color theme="0"/>
      <name val="Rockwell"/>
      <family val="1"/>
    </font>
    <font>
      <sz val="10"/>
      <color theme="1"/>
      <name val="Arial"/>
      <family val="2"/>
    </font>
    <font>
      <sz val="12"/>
      <color theme="1"/>
      <name val="Lucida Sans"/>
      <family val="2"/>
    </font>
    <font>
      <b/>
      <sz val="10"/>
      <color theme="1"/>
      <name val="Lucida Sans"/>
      <family val="2"/>
    </font>
    <font>
      <b/>
      <sz val="9"/>
      <color theme="1"/>
      <name val="Lucida Sans"/>
      <family val="2"/>
    </font>
    <font>
      <sz val="9"/>
      <color theme="1"/>
      <name val="Lucida Sans"/>
      <family val="2"/>
    </font>
    <font>
      <b/>
      <sz val="12"/>
      <color theme="1"/>
      <name val="Lucida Sans"/>
      <family val="2"/>
    </font>
    <font>
      <sz val="12"/>
      <color rgb="FF3F3F3F"/>
      <name val="Lucida Sans"/>
      <family val="2"/>
    </font>
    <font>
      <sz val="12"/>
      <color rgb="FF3F3F3F"/>
      <name val="Arial"/>
      <family val="2"/>
    </font>
    <font>
      <sz val="9"/>
      <color rgb="FF3F3F3F"/>
      <name val="Arial"/>
      <family val="2"/>
    </font>
    <font>
      <b/>
      <sz val="10"/>
      <color theme="1"/>
      <name val="Arial"/>
      <family val="2"/>
    </font>
    <font>
      <b/>
      <sz val="14"/>
      <color theme="5"/>
      <name val="Arial"/>
      <family val="2"/>
    </font>
    <font>
      <sz val="18"/>
      <color theme="0"/>
      <name val="Rockwell"/>
      <family val="1"/>
    </font>
    <font>
      <sz val="10"/>
      <color theme="1"/>
      <name val="Rockwell"/>
      <family val="1"/>
    </font>
    <font>
      <b/>
      <sz val="14"/>
      <color theme="1"/>
      <name val="Rockwell"/>
      <family val="1"/>
    </font>
    <font>
      <b/>
      <sz val="10"/>
      <color rgb="FF3F3F3F"/>
      <name val="Arial"/>
      <family val="2"/>
      <scheme val="minor"/>
    </font>
    <font>
      <sz val="11"/>
      <name val="Lucida Sans"/>
      <family val="2"/>
    </font>
    <font>
      <sz val="10"/>
      <name val="Lucida Sans"/>
      <family val="2"/>
    </font>
    <font>
      <sz val="10"/>
      <name val="Arial"/>
      <family val="2"/>
      <scheme val="minor"/>
    </font>
    <font>
      <sz val="11"/>
      <color rgb="FF0061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3F3F3F"/>
      <name val="Arial"/>
      <family val="2"/>
      <scheme val="minor"/>
    </font>
    <font>
      <b/>
      <sz val="14"/>
      <color rgb="FFFFFFFF"/>
      <name val="Rockwell"/>
      <family val="1"/>
    </font>
    <font>
      <sz val="13"/>
      <color theme="1"/>
      <name val="Lucida Sans"/>
      <family val="2"/>
    </font>
    <font>
      <sz val="13"/>
      <name val="Arial"/>
      <family val="2"/>
    </font>
    <font>
      <b/>
      <sz val="10"/>
      <name val="Rockwell"/>
      <family val="1"/>
    </font>
    <font>
      <sz val="10"/>
      <color rgb="FF3F3F3F"/>
      <name val="Arial"/>
      <family val="2"/>
      <scheme val="minor"/>
    </font>
    <font>
      <b/>
      <sz val="8"/>
      <color rgb="FF3F3F3F"/>
      <name val="Arial"/>
      <family val="2"/>
    </font>
    <font>
      <b/>
      <sz val="14"/>
      <color rgb="FF3F3F3F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3F"/>
      <name val="Arial"/>
      <family val="2"/>
      <scheme val="minor"/>
    </font>
    <font>
      <b/>
      <sz val="14"/>
      <name val="Arial"/>
      <family val="2"/>
      <scheme val="minor"/>
    </font>
    <font>
      <sz val="11"/>
      <color rgb="FF9C0006"/>
      <name val="Arial"/>
      <family val="2"/>
      <scheme val="minor"/>
    </font>
    <font>
      <sz val="10"/>
      <color rgb="FF3F3F3F"/>
      <name val="Arial"/>
      <scheme val="minor"/>
    </font>
    <font>
      <sz val="10"/>
      <color rgb="FFFF0000"/>
      <name val="Arial"/>
      <family val="2"/>
    </font>
    <font>
      <b/>
      <sz val="10"/>
      <color rgb="FF006100"/>
      <name val="Arial"/>
      <family val="2"/>
      <scheme val="minor"/>
    </font>
    <font>
      <sz val="10"/>
      <color rgb="FF9C0006"/>
      <name val="Arial"/>
      <family val="2"/>
      <scheme val="minor"/>
    </font>
    <font>
      <sz val="12"/>
      <color rgb="FFFF0000"/>
      <name val="Arial"/>
      <family val="2"/>
    </font>
    <font>
      <sz val="12"/>
      <color rgb="FF0070C0"/>
      <name val="Arial"/>
      <family val="2"/>
    </font>
    <font>
      <sz val="12"/>
      <color rgb="FFFF0000"/>
      <name val="Lucida Sans"/>
      <family val="2"/>
    </font>
    <font>
      <sz val="12"/>
      <color theme="6"/>
      <name val="Lucida Sans"/>
      <family val="2"/>
    </font>
    <font>
      <sz val="12"/>
      <color theme="9"/>
      <name val="Lucida Sans"/>
      <family val="2"/>
    </font>
    <font>
      <sz val="12"/>
      <name val="Arial"/>
      <family val="2"/>
    </font>
    <font>
      <sz val="10"/>
      <color theme="5"/>
      <name val="Arial"/>
      <family val="2"/>
    </font>
    <font>
      <sz val="9"/>
      <name val="Arial"/>
      <family val="2"/>
    </font>
    <font>
      <sz val="11"/>
      <name val="Arial"/>
      <family val="2"/>
      <scheme val="minor"/>
    </font>
    <font>
      <sz val="10"/>
      <color theme="9"/>
      <name val="Arial"/>
      <family val="2"/>
    </font>
    <font>
      <sz val="10"/>
      <name val="Arial"/>
      <scheme val="minor"/>
    </font>
    <font>
      <b/>
      <sz val="10"/>
      <name val="Lucida Sans"/>
      <family val="2"/>
    </font>
    <font>
      <sz val="10"/>
      <color rgb="FF006100"/>
      <name val="Arial"/>
      <family val="2"/>
      <scheme val="minor"/>
    </font>
    <font>
      <sz val="10"/>
      <color rgb="FFFF0000"/>
      <name val="Arial"/>
      <family val="2"/>
      <scheme val="minor"/>
    </font>
    <font>
      <sz val="14"/>
      <color rgb="FF006100"/>
      <name val="Arial"/>
      <family val="2"/>
      <scheme val="minor"/>
    </font>
    <font>
      <b/>
      <sz val="20"/>
      <color rgb="FFFFFFFF"/>
      <name val="Rockwell"/>
      <family val="1"/>
    </font>
    <font>
      <sz val="10"/>
      <color theme="0" tint="-0.14999847407452621"/>
      <name val="Arial"/>
      <family val="2"/>
      <scheme val="minor"/>
    </font>
    <font>
      <sz val="12"/>
      <color theme="5"/>
      <name val="Lucida Sans"/>
      <family val="2"/>
    </font>
    <font>
      <b/>
      <sz val="11"/>
      <color theme="5"/>
      <name val="Arial"/>
      <family val="2"/>
      <scheme val="minor"/>
    </font>
    <font>
      <sz val="12"/>
      <name val="Lucida Sans"/>
      <family val="2"/>
    </font>
    <font>
      <sz val="9"/>
      <color indexed="81"/>
      <name val="Tahoma"/>
      <charset val="1"/>
    </font>
  </fonts>
  <fills count="3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005677"/>
        <bgColor rgb="FF005677"/>
      </patternFill>
    </fill>
    <fill>
      <patternFill patternType="solid">
        <fgColor rgb="FFC8F0FF"/>
        <bgColor rgb="FFC8F0FF"/>
      </patternFill>
    </fill>
    <fill>
      <patternFill patternType="solid">
        <fgColor rgb="FFC9E6B3"/>
        <bgColor rgb="FFC9E6B3"/>
      </patternFill>
    </fill>
    <fill>
      <patternFill patternType="solid">
        <fgColor rgb="FFFFE598"/>
        <bgColor rgb="FFFFE598"/>
      </patternFill>
    </fill>
    <fill>
      <patternFill patternType="solid">
        <fgColor rgb="FF5BD2FF"/>
        <bgColor rgb="FF5BD2FF"/>
      </patternFill>
    </fill>
    <fill>
      <patternFill patternType="solid">
        <fgColor rgb="FFE4E5E6"/>
        <bgColor rgb="FFE4E5E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92D05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9F9F9"/>
        <bgColor rgb="FFF2F2F2"/>
      </patternFill>
    </fill>
    <fill>
      <patternFill patternType="solid">
        <fgColor rgb="FFF9F9F9"/>
        <bgColor rgb="FFE4E5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theme="0"/>
      </patternFill>
    </fill>
    <fill>
      <patternFill patternType="solid">
        <fgColor rgb="FFFFFF00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FFE598"/>
      </patternFill>
    </fill>
    <fill>
      <patternFill patternType="solid">
        <fgColor theme="9" tint="0.79998168889431442"/>
        <bgColor rgb="FFFFE598"/>
      </patternFill>
    </fill>
    <fill>
      <patternFill patternType="solid">
        <fgColor theme="6" tint="0.79998168889431442"/>
        <bgColor rgb="FF5BD2FF"/>
      </patternFill>
    </fill>
    <fill>
      <patternFill patternType="solid">
        <fgColor theme="7" tint="0.79998168889431442"/>
        <bgColor rgb="FFFFE598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34998626667073579"/>
        <bgColor indexed="64"/>
      </patternFill>
    </fill>
  </fills>
  <borders count="10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31" fillId="14" borderId="0" applyNumberFormat="0" applyBorder="0" applyAlignment="0" applyProtection="0"/>
    <xf numFmtId="9" fontId="38" fillId="0" borderId="0" applyFont="0" applyFill="0" applyBorder="0" applyAlignment="0" applyProtection="0"/>
    <xf numFmtId="0" fontId="45" fillId="21" borderId="0" applyNumberFormat="0" applyBorder="0" applyAlignment="0" applyProtection="0"/>
    <xf numFmtId="44" fontId="46" fillId="0" borderId="0" applyFont="0" applyFill="0" applyBorder="0" applyAlignment="0" applyProtection="0"/>
  </cellStyleXfs>
  <cellXfs count="439">
    <xf numFmtId="0" fontId="0" fillId="0" borderId="0" xfId="0"/>
    <xf numFmtId="165" fontId="3" fillId="0" borderId="0" xfId="0" applyNumberFormat="1" applyFont="1"/>
    <xf numFmtId="165" fontId="12" fillId="4" borderId="4" xfId="0" applyNumberFormat="1" applyFont="1" applyFill="1" applyBorder="1" applyAlignment="1">
      <alignment vertical="center"/>
    </xf>
    <xf numFmtId="0" fontId="13" fillId="0" borderId="0" xfId="0" applyFont="1"/>
    <xf numFmtId="165" fontId="9" fillId="0" borderId="0" xfId="0" applyNumberFormat="1" applyFont="1"/>
    <xf numFmtId="165" fontId="26" fillId="0" borderId="9" xfId="0" applyNumberFormat="1" applyFont="1" applyBorder="1" applyAlignment="1">
      <alignment horizontal="center" vertical="center"/>
    </xf>
    <xf numFmtId="165" fontId="26" fillId="0" borderId="5" xfId="0" applyNumberFormat="1" applyFont="1" applyBorder="1" applyAlignment="1">
      <alignment horizontal="center" vertical="center"/>
    </xf>
    <xf numFmtId="165" fontId="14" fillId="0" borderId="10" xfId="0" applyNumberFormat="1" applyFont="1" applyBorder="1" applyAlignment="1">
      <alignment vertical="center"/>
    </xf>
    <xf numFmtId="1" fontId="14" fillId="3" borderId="11" xfId="0" applyNumberFormat="1" applyFont="1" applyFill="1" applyBorder="1" applyAlignment="1">
      <alignment horizontal="center" vertical="center"/>
    </xf>
    <xf numFmtId="165" fontId="14" fillId="0" borderId="12" xfId="0" applyNumberFormat="1" applyFont="1" applyBorder="1" applyAlignment="1">
      <alignment vertical="center"/>
    </xf>
    <xf numFmtId="1" fontId="14" fillId="3" borderId="13" xfId="0" applyNumberFormat="1" applyFont="1" applyFill="1" applyBorder="1" applyAlignment="1">
      <alignment horizontal="center" vertical="center"/>
    </xf>
    <xf numFmtId="165" fontId="14" fillId="0" borderId="14" xfId="0" applyNumberFormat="1" applyFont="1" applyBorder="1" applyAlignment="1">
      <alignment vertical="center"/>
    </xf>
    <xf numFmtId="1" fontId="14" fillId="3" borderId="15" xfId="0" applyNumberFormat="1" applyFont="1" applyFill="1" applyBorder="1" applyAlignment="1">
      <alignment horizontal="center" vertical="center"/>
    </xf>
    <xf numFmtId="165" fontId="3" fillId="3" borderId="2" xfId="0" applyNumberFormat="1" applyFont="1" applyFill="1" applyBorder="1"/>
    <xf numFmtId="165" fontId="4" fillId="3" borderId="2" xfId="0" applyNumberFormat="1" applyFont="1" applyFill="1" applyBorder="1"/>
    <xf numFmtId="165" fontId="6" fillId="3" borderId="2" xfId="0" applyNumberFormat="1" applyFont="1" applyFill="1" applyBorder="1"/>
    <xf numFmtId="165" fontId="3" fillId="3" borderId="2" xfId="0" applyNumberFormat="1" applyFont="1" applyFill="1" applyBorder="1" applyAlignment="1">
      <alignment wrapText="1"/>
    </xf>
    <xf numFmtId="165" fontId="5" fillId="3" borderId="2" xfId="0" applyNumberFormat="1" applyFont="1" applyFill="1" applyBorder="1"/>
    <xf numFmtId="165" fontId="9" fillId="3" borderId="2" xfId="0" applyNumberFormat="1" applyFont="1" applyFill="1" applyBorder="1"/>
    <xf numFmtId="165" fontId="8" fillId="3" borderId="2" xfId="0" applyNumberFormat="1" applyFont="1" applyFill="1" applyBorder="1"/>
    <xf numFmtId="165" fontId="10" fillId="3" borderId="2" xfId="0" applyNumberFormat="1" applyFont="1" applyFill="1" applyBorder="1"/>
    <xf numFmtId="9" fontId="17" fillId="3" borderId="2" xfId="0" applyNumberFormat="1" applyFont="1" applyFill="1" applyBorder="1" applyAlignment="1">
      <alignment horizontal="left" vertical="center"/>
    </xf>
    <xf numFmtId="165" fontId="11" fillId="3" borderId="2" xfId="0" applyNumberFormat="1" applyFont="1" applyFill="1" applyBorder="1"/>
    <xf numFmtId="165" fontId="15" fillId="3" borderId="2" xfId="0" applyNumberFormat="1" applyFont="1" applyFill="1" applyBorder="1" applyAlignment="1">
      <alignment horizontal="right" vertical="center"/>
    </xf>
    <xf numFmtId="1" fontId="15" fillId="3" borderId="2" xfId="0" applyNumberFormat="1" applyFont="1" applyFill="1" applyBorder="1" applyAlignment="1">
      <alignment horizontal="right" vertical="center"/>
    </xf>
    <xf numFmtId="1" fontId="22" fillId="3" borderId="2" xfId="0" applyNumberFormat="1" applyFont="1" applyFill="1" applyBorder="1" applyAlignment="1">
      <alignment horizontal="right" vertical="center"/>
    </xf>
    <xf numFmtId="1" fontId="15" fillId="3" borderId="2" xfId="0" applyNumberFormat="1" applyFont="1" applyFill="1" applyBorder="1"/>
    <xf numFmtId="165" fontId="25" fillId="3" borderId="2" xfId="0" applyNumberFormat="1" applyFont="1" applyFill="1" applyBorder="1"/>
    <xf numFmtId="165" fontId="26" fillId="3" borderId="2" xfId="0" applyNumberFormat="1" applyFont="1" applyFill="1" applyBorder="1" applyAlignment="1">
      <alignment horizontal="center" vertical="center"/>
    </xf>
    <xf numFmtId="165" fontId="14" fillId="3" borderId="2" xfId="0" applyNumberFormat="1" applyFont="1" applyFill="1" applyBorder="1" applyAlignment="1">
      <alignment horizontal="center" vertical="center"/>
    </xf>
    <xf numFmtId="165" fontId="9" fillId="2" borderId="2" xfId="0" applyNumberFormat="1" applyFont="1" applyFill="1" applyBorder="1"/>
    <xf numFmtId="165" fontId="19" fillId="9" borderId="2" xfId="0" applyNumberFormat="1" applyFont="1" applyFill="1" applyBorder="1" applyAlignment="1">
      <alignment vertical="center"/>
    </xf>
    <xf numFmtId="165" fontId="20" fillId="9" borderId="16" xfId="0" applyNumberFormat="1" applyFont="1" applyFill="1" applyBorder="1" applyAlignment="1">
      <alignment vertical="center"/>
    </xf>
    <xf numFmtId="165" fontId="20" fillId="9" borderId="17" xfId="0" applyNumberFormat="1" applyFont="1" applyFill="1" applyBorder="1" applyAlignment="1">
      <alignment vertical="center"/>
    </xf>
    <xf numFmtId="165" fontId="21" fillId="9" borderId="19" xfId="0" applyNumberFormat="1" applyFont="1" applyFill="1" applyBorder="1" applyAlignment="1">
      <alignment vertical="center"/>
    </xf>
    <xf numFmtId="165" fontId="20" fillId="9" borderId="20" xfId="0" applyNumberFormat="1" applyFont="1" applyFill="1" applyBorder="1" applyAlignment="1">
      <alignment vertical="center"/>
    </xf>
    <xf numFmtId="165" fontId="21" fillId="9" borderId="21" xfId="0" applyNumberFormat="1" applyFont="1" applyFill="1" applyBorder="1" applyAlignment="1">
      <alignment vertical="center"/>
    </xf>
    <xf numFmtId="165" fontId="19" fillId="3" borderId="17" xfId="0" applyNumberFormat="1" applyFont="1" applyFill="1" applyBorder="1" applyAlignment="1">
      <alignment vertical="center"/>
    </xf>
    <xf numFmtId="165" fontId="19" fillId="10" borderId="20" xfId="0" applyNumberFormat="1" applyFont="1" applyFill="1" applyBorder="1" applyAlignment="1">
      <alignment vertical="center"/>
    </xf>
    <xf numFmtId="165" fontId="19" fillId="10" borderId="21" xfId="0" applyNumberFormat="1" applyFont="1" applyFill="1" applyBorder="1" applyAlignment="1">
      <alignment vertical="center"/>
    </xf>
    <xf numFmtId="165" fontId="19" fillId="3" borderId="20" xfId="0" applyNumberFormat="1" applyFont="1" applyFill="1" applyBorder="1" applyAlignment="1">
      <alignment vertical="center"/>
    </xf>
    <xf numFmtId="165" fontId="19" fillId="3" borderId="21" xfId="0" applyNumberFormat="1" applyFont="1" applyFill="1" applyBorder="1" applyAlignment="1">
      <alignment vertical="center"/>
    </xf>
    <xf numFmtId="165" fontId="19" fillId="10" borderId="22" xfId="0" applyNumberFormat="1" applyFont="1" applyFill="1" applyBorder="1" applyAlignment="1">
      <alignment vertical="center"/>
    </xf>
    <xf numFmtId="165" fontId="19" fillId="10" borderId="24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13" borderId="0" xfId="0" applyFill="1"/>
    <xf numFmtId="0" fontId="0" fillId="13" borderId="0" xfId="0" applyFill="1" applyAlignment="1">
      <alignment horizontal="center" vertical="center"/>
    </xf>
    <xf numFmtId="165" fontId="20" fillId="17" borderId="16" xfId="0" applyNumberFormat="1" applyFont="1" applyFill="1" applyBorder="1" applyAlignment="1">
      <alignment vertical="center"/>
    </xf>
    <xf numFmtId="165" fontId="20" fillId="17" borderId="20" xfId="0" applyNumberFormat="1" applyFont="1" applyFill="1" applyBorder="1" applyAlignment="1">
      <alignment vertical="center"/>
    </xf>
    <xf numFmtId="165" fontId="21" fillId="18" borderId="21" xfId="0" applyNumberFormat="1" applyFont="1" applyFill="1" applyBorder="1" applyAlignment="1">
      <alignment vertical="center"/>
    </xf>
    <xf numFmtId="165" fontId="18" fillId="8" borderId="43" xfId="0" applyNumberFormat="1" applyFont="1" applyFill="1" applyBorder="1" applyAlignment="1">
      <alignment vertical="center"/>
    </xf>
    <xf numFmtId="165" fontId="18" fillId="8" borderId="45" xfId="0" applyNumberFormat="1" applyFont="1" applyFill="1" applyBorder="1" applyAlignment="1">
      <alignment vertical="center"/>
    </xf>
    <xf numFmtId="165" fontId="12" fillId="4" borderId="4" xfId="0" applyNumberFormat="1" applyFont="1" applyFill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165" fontId="35" fillId="8" borderId="25" xfId="0" applyNumberFormat="1" applyFont="1" applyFill="1" applyBorder="1" applyAlignment="1">
      <alignment vertical="center"/>
    </xf>
    <xf numFmtId="165" fontId="35" fillId="8" borderId="42" xfId="0" applyNumberFormat="1" applyFont="1" applyFill="1" applyBorder="1" applyAlignment="1">
      <alignment vertical="center"/>
    </xf>
    <xf numFmtId="165" fontId="35" fillId="6" borderId="56" xfId="0" applyNumberFormat="1" applyFont="1" applyFill="1" applyBorder="1" applyAlignment="1">
      <alignment vertical="center"/>
    </xf>
    <xf numFmtId="165" fontId="35" fillId="6" borderId="57" xfId="0" applyNumberFormat="1" applyFont="1" applyFill="1" applyBorder="1" applyAlignment="1">
      <alignment vertical="center"/>
    </xf>
    <xf numFmtId="165" fontId="35" fillId="6" borderId="58" xfId="0" applyNumberFormat="1" applyFont="1" applyFill="1" applyBorder="1" applyAlignment="1">
      <alignment vertical="center"/>
    </xf>
    <xf numFmtId="165" fontId="35" fillId="6" borderId="59" xfId="0" applyNumberFormat="1" applyFont="1" applyFill="1" applyBorder="1" applyAlignment="1">
      <alignment vertical="center"/>
    </xf>
    <xf numFmtId="165" fontId="35" fillId="6" borderId="60" xfId="0" applyNumberFormat="1" applyFont="1" applyFill="1" applyBorder="1" applyAlignment="1">
      <alignment vertical="center"/>
    </xf>
    <xf numFmtId="165" fontId="35" fillId="6" borderId="44" xfId="0" applyNumberFormat="1" applyFont="1" applyFill="1" applyBorder="1" applyAlignment="1">
      <alignment vertical="center"/>
    </xf>
    <xf numFmtId="165" fontId="35" fillId="6" borderId="61" xfId="0" applyNumberFormat="1" applyFont="1" applyFill="1" applyBorder="1" applyAlignment="1">
      <alignment vertical="center"/>
    </xf>
    <xf numFmtId="165" fontId="35" fillId="6" borderId="62" xfId="0" applyNumberFormat="1" applyFont="1" applyFill="1" applyBorder="1" applyAlignment="1">
      <alignment vertical="center"/>
    </xf>
    <xf numFmtId="165" fontId="14" fillId="7" borderId="63" xfId="0" applyNumberFormat="1" applyFont="1" applyFill="1" applyBorder="1" applyAlignment="1">
      <alignment vertical="center"/>
    </xf>
    <xf numFmtId="165" fontId="14" fillId="7" borderId="51" xfId="0" applyNumberFormat="1" applyFont="1" applyFill="1" applyBorder="1" applyAlignment="1">
      <alignment vertical="center"/>
    </xf>
    <xf numFmtId="165" fontId="14" fillId="7" borderId="64" xfId="0" applyNumberFormat="1" applyFont="1" applyFill="1" applyBorder="1" applyAlignment="1">
      <alignment vertical="center"/>
    </xf>
    <xf numFmtId="165" fontId="18" fillId="8" borderId="65" xfId="0" applyNumberFormat="1" applyFont="1" applyFill="1" applyBorder="1" applyAlignment="1">
      <alignment vertical="center"/>
    </xf>
    <xf numFmtId="165" fontId="14" fillId="7" borderId="52" xfId="0" applyNumberFormat="1" applyFont="1" applyFill="1" applyBorder="1" applyAlignment="1">
      <alignment vertical="center"/>
    </xf>
    <xf numFmtId="165" fontId="14" fillId="7" borderId="48" xfId="0" applyNumberFormat="1" applyFont="1" applyFill="1" applyBorder="1" applyAlignment="1">
      <alignment vertical="center"/>
    </xf>
    <xf numFmtId="165" fontId="14" fillId="7" borderId="53" xfId="0" applyNumberFormat="1" applyFont="1" applyFill="1" applyBorder="1" applyAlignment="1">
      <alignment vertical="center"/>
    </xf>
    <xf numFmtId="10" fontId="9" fillId="3" borderId="2" xfId="2" applyNumberFormat="1" applyFont="1" applyFill="1" applyBorder="1"/>
    <xf numFmtId="10" fontId="2" fillId="13" borderId="1" xfId="2" applyNumberFormat="1" applyFont="1" applyFill="1" applyBorder="1"/>
    <xf numFmtId="165" fontId="18" fillId="8" borderId="47" xfId="0" applyNumberFormat="1" applyFont="1" applyFill="1" applyBorder="1" applyAlignment="1">
      <alignment horizontal="right" vertical="center"/>
    </xf>
    <xf numFmtId="165" fontId="14" fillId="12" borderId="49" xfId="0" applyNumberFormat="1" applyFont="1" applyFill="1" applyBorder="1" applyAlignment="1">
      <alignment horizontal="right" vertical="center"/>
    </xf>
    <xf numFmtId="166" fontId="0" fillId="0" borderId="50" xfId="0" applyNumberFormat="1" applyBorder="1" applyAlignment="1">
      <alignment horizontal="right"/>
    </xf>
    <xf numFmtId="165" fontId="14" fillId="12" borderId="41" xfId="0" applyNumberFormat="1" applyFont="1" applyFill="1" applyBorder="1" applyAlignment="1">
      <alignment horizontal="right" vertical="center"/>
    </xf>
    <xf numFmtId="166" fontId="0" fillId="0" borderId="48" xfId="0" applyNumberFormat="1" applyBorder="1" applyAlignment="1">
      <alignment horizontal="right"/>
    </xf>
    <xf numFmtId="165" fontId="14" fillId="12" borderId="46" xfId="0" applyNumberFormat="1" applyFont="1" applyFill="1" applyBorder="1" applyAlignment="1">
      <alignment horizontal="right" vertical="center"/>
    </xf>
    <xf numFmtId="166" fontId="0" fillId="0" borderId="55" xfId="0" applyNumberFormat="1" applyBorder="1" applyAlignment="1">
      <alignment horizontal="right"/>
    </xf>
    <xf numFmtId="165" fontId="18" fillId="8" borderId="42" xfId="0" applyNumberFormat="1" applyFont="1" applyFill="1" applyBorder="1" applyAlignment="1">
      <alignment horizontal="right" vertical="center"/>
    </xf>
    <xf numFmtId="0" fontId="0" fillId="13" borderId="0" xfId="0" applyFill="1" applyAlignment="1">
      <alignment horizontal="left" vertical="center"/>
    </xf>
    <xf numFmtId="167" fontId="0" fillId="13" borderId="0" xfId="0" applyNumberForma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2" fillId="13" borderId="1" xfId="0" applyNumberFormat="1" applyFont="1" applyFill="1" applyBorder="1" applyAlignment="1">
      <alignment horizontal="left" vertical="center"/>
    </xf>
    <xf numFmtId="164" fontId="2" fillId="13" borderId="39" xfId="0" applyNumberFormat="1" applyFont="1" applyFill="1" applyBorder="1" applyAlignment="1">
      <alignment horizontal="left" vertical="center"/>
    </xf>
    <xf numFmtId="0" fontId="27" fillId="13" borderId="34" xfId="0" applyFont="1" applyFill="1" applyBorder="1" applyAlignment="1">
      <alignment horizontal="left" vertical="center"/>
    </xf>
    <xf numFmtId="167" fontId="0" fillId="13" borderId="35" xfId="0" applyNumberFormat="1" applyFill="1" applyBorder="1" applyAlignment="1">
      <alignment horizontal="left" vertical="center"/>
    </xf>
    <xf numFmtId="164" fontId="2" fillId="13" borderId="70" xfId="0" applyNumberFormat="1" applyFont="1" applyFill="1" applyBorder="1" applyAlignment="1">
      <alignment horizontal="left" vertical="center"/>
    </xf>
    <xf numFmtId="164" fontId="2" fillId="13" borderId="30" xfId="0" applyNumberFormat="1" applyFont="1" applyFill="1" applyBorder="1" applyAlignment="1">
      <alignment horizontal="left" vertical="center"/>
    </xf>
    <xf numFmtId="164" fontId="2" fillId="0" borderId="71" xfId="0" applyNumberFormat="1" applyFont="1" applyBorder="1" applyAlignment="1">
      <alignment horizontal="left" vertical="center"/>
    </xf>
    <xf numFmtId="164" fontId="2" fillId="0" borderId="68" xfId="0" applyNumberFormat="1" applyFont="1" applyBorder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0" fontId="27" fillId="0" borderId="27" xfId="0" applyFont="1" applyBorder="1" applyAlignment="1">
      <alignment horizontal="left" vertical="center"/>
    </xf>
    <xf numFmtId="164" fontId="0" fillId="0" borderId="28" xfId="0" applyNumberFormat="1" applyBorder="1" applyAlignment="1">
      <alignment horizontal="left" vertical="center"/>
    </xf>
    <xf numFmtId="0" fontId="27" fillId="0" borderId="38" xfId="0" applyFont="1" applyBorder="1" applyAlignment="1">
      <alignment horizontal="left" vertical="center"/>
    </xf>
    <xf numFmtId="164" fontId="0" fillId="0" borderId="39" xfId="0" applyNumberFormat="1" applyBorder="1" applyAlignment="1">
      <alignment horizontal="left" vertical="center"/>
    </xf>
    <xf numFmtId="0" fontId="27" fillId="0" borderId="29" xfId="0" applyFont="1" applyBorder="1" applyAlignment="1">
      <alignment horizontal="left" vertical="center"/>
    </xf>
    <xf numFmtId="164" fontId="0" fillId="0" borderId="30" xfId="0" applyNumberFormat="1" applyBorder="1" applyAlignment="1">
      <alignment horizontal="left" vertical="center"/>
    </xf>
    <xf numFmtId="0" fontId="28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10" fontId="2" fillId="13" borderId="76" xfId="2" applyNumberFormat="1" applyFont="1" applyFill="1" applyBorder="1"/>
    <xf numFmtId="164" fontId="2" fillId="16" borderId="1" xfId="0" applyNumberFormat="1" applyFont="1" applyFill="1" applyBorder="1" applyAlignment="1">
      <alignment horizontal="left" vertical="center"/>
    </xf>
    <xf numFmtId="164" fontId="2" fillId="16" borderId="73" xfId="0" applyNumberFormat="1" applyFont="1" applyFill="1" applyBorder="1" applyAlignment="1">
      <alignment horizontal="left" vertical="center"/>
    </xf>
    <xf numFmtId="164" fontId="2" fillId="16" borderId="39" xfId="0" applyNumberFormat="1" applyFont="1" applyFill="1" applyBorder="1" applyAlignment="1">
      <alignment horizontal="left" vertical="center"/>
    </xf>
    <xf numFmtId="0" fontId="1" fillId="0" borderId="77" xfId="0" applyFont="1" applyBorder="1" applyAlignment="1">
      <alignment horizontal="left" vertical="center"/>
    </xf>
    <xf numFmtId="0" fontId="1" fillId="0" borderId="81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165" fontId="9" fillId="0" borderId="20" xfId="0" applyNumberFormat="1" applyFont="1" applyBorder="1" applyAlignment="1">
      <alignment horizontal="center" vertical="center"/>
    </xf>
    <xf numFmtId="165" fontId="9" fillId="0" borderId="16" xfId="0" applyNumberFormat="1" applyFont="1" applyBorder="1" applyAlignment="1">
      <alignment horizontal="center" vertical="center"/>
    </xf>
    <xf numFmtId="165" fontId="9" fillId="0" borderId="21" xfId="0" applyNumberFormat="1" applyFont="1" applyBorder="1" applyAlignment="1">
      <alignment horizontal="center" vertical="center"/>
    </xf>
    <xf numFmtId="2" fontId="9" fillId="0" borderId="16" xfId="0" applyNumberFormat="1" applyFont="1" applyBorder="1" applyAlignment="1">
      <alignment horizontal="center" vertical="center"/>
    </xf>
    <xf numFmtId="2" fontId="9" fillId="0" borderId="21" xfId="0" applyNumberFormat="1" applyFont="1" applyBorder="1" applyAlignment="1">
      <alignment horizontal="center" vertical="center"/>
    </xf>
    <xf numFmtId="165" fontId="9" fillId="0" borderId="22" xfId="0" applyNumberFormat="1" applyFont="1" applyBorder="1" applyAlignment="1">
      <alignment horizontal="center" vertical="center"/>
    </xf>
    <xf numFmtId="2" fontId="9" fillId="0" borderId="23" xfId="0" applyNumberFormat="1" applyFont="1" applyBorder="1" applyAlignment="1">
      <alignment horizontal="center" vertical="center"/>
    </xf>
    <xf numFmtId="2" fontId="9" fillId="0" borderId="24" xfId="0" applyNumberFormat="1" applyFont="1" applyBorder="1" applyAlignment="1">
      <alignment horizontal="center" vertical="center"/>
    </xf>
    <xf numFmtId="165" fontId="16" fillId="3" borderId="2" xfId="0" applyNumberFormat="1" applyFont="1" applyFill="1" applyBorder="1" applyAlignment="1">
      <alignment horizontal="center" vertical="center"/>
    </xf>
    <xf numFmtId="164" fontId="23" fillId="11" borderId="2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right" vertical="center"/>
    </xf>
    <xf numFmtId="165" fontId="47" fillId="0" borderId="0" xfId="0" applyNumberFormat="1" applyFont="1" applyAlignment="1">
      <alignment horizontal="right" vertical="center"/>
    </xf>
    <xf numFmtId="10" fontId="2" fillId="16" borderId="1" xfId="2" applyNumberFormat="1" applyFont="1" applyFill="1" applyBorder="1"/>
    <xf numFmtId="10" fontId="2" fillId="16" borderId="76" xfId="2" applyNumberFormat="1" applyFont="1" applyFill="1" applyBorder="1"/>
    <xf numFmtId="10" fontId="2" fillId="13" borderId="77" xfId="2" applyNumberFormat="1" applyFont="1" applyFill="1" applyBorder="1"/>
    <xf numFmtId="10" fontId="2" fillId="13" borderId="78" xfId="2" applyNumberFormat="1" applyFont="1" applyFill="1" applyBorder="1"/>
    <xf numFmtId="10" fontId="2" fillId="16" borderId="70" xfId="2" applyNumberFormat="1" applyFont="1" applyFill="1" applyBorder="1"/>
    <xf numFmtId="10" fontId="2" fillId="16" borderId="79" xfId="2" applyNumberFormat="1" applyFont="1" applyFill="1" applyBorder="1"/>
    <xf numFmtId="164" fontId="2" fillId="0" borderId="90" xfId="0" applyNumberFormat="1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  <xf numFmtId="164" fontId="2" fillId="20" borderId="73" xfId="0" applyNumberFormat="1" applyFont="1" applyFill="1" applyBorder="1" applyAlignment="1">
      <alignment horizontal="left" vertical="center"/>
    </xf>
    <xf numFmtId="164" fontId="2" fillId="20" borderId="74" xfId="0" applyNumberFormat="1" applyFont="1" applyFill="1" applyBorder="1" applyAlignment="1">
      <alignment horizontal="left" vertical="center"/>
    </xf>
    <xf numFmtId="0" fontId="1" fillId="0" borderId="60" xfId="0" applyFont="1" applyBorder="1" applyAlignment="1">
      <alignment horizontal="left" vertical="center"/>
    </xf>
    <xf numFmtId="0" fontId="1" fillId="16" borderId="44" xfId="0" applyFont="1" applyFill="1" applyBorder="1" applyAlignment="1">
      <alignment horizontal="left" vertical="center"/>
    </xf>
    <xf numFmtId="0" fontId="1" fillId="20" borderId="44" xfId="0" applyFont="1" applyFill="1" applyBorder="1" applyAlignment="1">
      <alignment horizontal="left" vertical="center"/>
    </xf>
    <xf numFmtId="0" fontId="1" fillId="20" borderId="62" xfId="0" applyFont="1" applyFill="1" applyBorder="1" applyAlignment="1">
      <alignment horizontal="left" vertical="center"/>
    </xf>
    <xf numFmtId="0" fontId="30" fillId="19" borderId="0" xfId="0" applyFont="1" applyFill="1" applyAlignment="1">
      <alignment horizontal="center" vertical="center"/>
    </xf>
    <xf numFmtId="0" fontId="30" fillId="25" borderId="0" xfId="0" applyFont="1" applyFill="1" applyAlignment="1">
      <alignment horizontal="center" vertical="center"/>
    </xf>
    <xf numFmtId="0" fontId="1" fillId="0" borderId="56" xfId="0" applyFont="1" applyBorder="1"/>
    <xf numFmtId="0" fontId="1" fillId="15" borderId="57" xfId="0" applyFont="1" applyFill="1" applyBorder="1"/>
    <xf numFmtId="0" fontId="1" fillId="0" borderId="57" xfId="0" applyFont="1" applyBorder="1"/>
    <xf numFmtId="0" fontId="1" fillId="15" borderId="59" xfId="0" applyFont="1" applyFill="1" applyBorder="1"/>
    <xf numFmtId="10" fontId="2" fillId="13" borderId="28" xfId="2" applyNumberFormat="1" applyFont="1" applyFill="1" applyBorder="1"/>
    <xf numFmtId="10" fontId="2" fillId="16" borderId="39" xfId="2" applyNumberFormat="1" applyFont="1" applyFill="1" applyBorder="1"/>
    <xf numFmtId="10" fontId="2" fillId="13" borderId="39" xfId="2" applyNumberFormat="1" applyFont="1" applyFill="1" applyBorder="1"/>
    <xf numFmtId="10" fontId="2" fillId="16" borderId="30" xfId="2" applyNumberFormat="1" applyFont="1" applyFill="1" applyBorder="1"/>
    <xf numFmtId="2" fontId="9" fillId="24" borderId="23" xfId="0" applyNumberFormat="1" applyFont="1" applyFill="1" applyBorder="1" applyAlignment="1">
      <alignment horizontal="center" vertical="center"/>
    </xf>
    <xf numFmtId="2" fontId="9" fillId="24" borderId="16" xfId="0" applyNumberFormat="1" applyFont="1" applyFill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16" borderId="16" xfId="0" applyNumberFormat="1" applyFont="1" applyFill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164" fontId="2" fillId="2" borderId="20" xfId="0" applyNumberFormat="1" applyFont="1" applyFill="1" applyBorder="1" applyAlignment="1">
      <alignment horizontal="center" vertical="center"/>
    </xf>
    <xf numFmtId="164" fontId="2" fillId="2" borderId="21" xfId="0" applyNumberFormat="1" applyFont="1" applyFill="1" applyBorder="1" applyAlignment="1">
      <alignment horizontal="center" vertical="center"/>
    </xf>
    <xf numFmtId="164" fontId="2" fillId="15" borderId="20" xfId="0" applyNumberFormat="1" applyFont="1" applyFill="1" applyBorder="1" applyAlignment="1">
      <alignment horizontal="center" vertical="center"/>
    </xf>
    <xf numFmtId="164" fontId="2" fillId="16" borderId="21" xfId="0" applyNumberFormat="1" applyFont="1" applyFill="1" applyBorder="1" applyAlignment="1">
      <alignment horizontal="center" vertical="center"/>
    </xf>
    <xf numFmtId="164" fontId="2" fillId="23" borderId="22" xfId="0" applyNumberFormat="1" applyFont="1" applyFill="1" applyBorder="1" applyAlignment="1">
      <alignment horizontal="center" vertical="center"/>
    </xf>
    <xf numFmtId="164" fontId="2" fillId="23" borderId="23" xfId="0" applyNumberFormat="1" applyFont="1" applyFill="1" applyBorder="1" applyAlignment="1">
      <alignment horizontal="center" vertical="center"/>
    </xf>
    <xf numFmtId="164" fontId="2" fillId="23" borderId="24" xfId="0" applyNumberFormat="1" applyFont="1" applyFill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 vertical="center"/>
    </xf>
    <xf numFmtId="164" fontId="2" fillId="0" borderId="91" xfId="0" applyNumberFormat="1" applyFont="1" applyBorder="1" applyAlignment="1">
      <alignment horizontal="center" vertical="center"/>
    </xf>
    <xf numFmtId="164" fontId="2" fillId="0" borderId="92" xfId="0" applyNumberFormat="1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31" fillId="27" borderId="0" xfId="1" applyNumberFormat="1" applyFill="1" applyAlignment="1">
      <alignment horizontal="center" vertical="center"/>
    </xf>
    <xf numFmtId="16" fontId="0" fillId="27" borderId="0" xfId="0" applyNumberFormat="1" applyFill="1" applyAlignment="1">
      <alignment horizontal="center" vertical="center"/>
    </xf>
    <xf numFmtId="165" fontId="50" fillId="17" borderId="20" xfId="0" applyNumberFormat="1" applyFont="1" applyFill="1" applyBorder="1" applyAlignment="1">
      <alignment vertical="center"/>
    </xf>
    <xf numFmtId="165" fontId="51" fillId="17" borderId="16" xfId="0" applyNumberFormat="1" applyFont="1" applyFill="1" applyBorder="1" applyAlignment="1">
      <alignment vertical="center"/>
    </xf>
    <xf numFmtId="165" fontId="51" fillId="9" borderId="18" xfId="0" applyNumberFormat="1" applyFont="1" applyFill="1" applyBorder="1" applyAlignment="1">
      <alignment vertical="center"/>
    </xf>
    <xf numFmtId="165" fontId="51" fillId="9" borderId="16" xfId="0" applyNumberFormat="1" applyFont="1" applyFill="1" applyBorder="1" applyAlignment="1">
      <alignment vertical="center"/>
    </xf>
    <xf numFmtId="0" fontId="32" fillId="27" borderId="0" xfId="0" applyFont="1" applyFill="1" applyAlignment="1">
      <alignment horizontal="center" vertical="center"/>
    </xf>
    <xf numFmtId="0" fontId="30" fillId="27" borderId="0" xfId="0" applyFont="1" applyFill="1" applyAlignment="1">
      <alignment horizontal="center" vertical="center"/>
    </xf>
    <xf numFmtId="165" fontId="52" fillId="3" borderId="19" xfId="0" applyNumberFormat="1" applyFont="1" applyFill="1" applyBorder="1" applyAlignment="1">
      <alignment vertical="center"/>
    </xf>
    <xf numFmtId="165" fontId="52" fillId="3" borderId="17" xfId="0" applyNumberFormat="1" applyFont="1" applyFill="1" applyBorder="1" applyAlignment="1">
      <alignment vertical="center"/>
    </xf>
    <xf numFmtId="165" fontId="52" fillId="3" borderId="20" xfId="0" applyNumberFormat="1" applyFont="1" applyFill="1" applyBorder="1" applyAlignment="1">
      <alignment vertical="center"/>
    </xf>
    <xf numFmtId="165" fontId="52" fillId="3" borderId="21" xfId="0" applyNumberFormat="1" applyFont="1" applyFill="1" applyBorder="1" applyAlignment="1">
      <alignment vertical="center"/>
    </xf>
    <xf numFmtId="165" fontId="54" fillId="3" borderId="20" xfId="0" applyNumberFormat="1" applyFont="1" applyFill="1" applyBorder="1" applyAlignment="1">
      <alignment vertical="center"/>
    </xf>
    <xf numFmtId="165" fontId="54" fillId="3" borderId="21" xfId="0" applyNumberFormat="1" applyFont="1" applyFill="1" applyBorder="1" applyAlignment="1">
      <alignment vertical="center"/>
    </xf>
    <xf numFmtId="165" fontId="55" fillId="9" borderId="20" xfId="0" applyNumberFormat="1" applyFont="1" applyFill="1" applyBorder="1" applyAlignment="1">
      <alignment vertical="center"/>
    </xf>
    <xf numFmtId="165" fontId="55" fillId="17" borderId="20" xfId="0" applyNumberFormat="1" applyFont="1" applyFill="1" applyBorder="1" applyAlignment="1">
      <alignment vertical="center"/>
    </xf>
    <xf numFmtId="165" fontId="52" fillId="28" borderId="20" xfId="0" applyNumberFormat="1" applyFont="1" applyFill="1" applyBorder="1" applyAlignment="1">
      <alignment vertical="center"/>
    </xf>
    <xf numFmtId="165" fontId="52" fillId="28" borderId="21" xfId="0" applyNumberFormat="1" applyFont="1" applyFill="1" applyBorder="1" applyAlignment="1">
      <alignment vertical="center"/>
    </xf>
    <xf numFmtId="165" fontId="54" fillId="28" borderId="20" xfId="0" applyNumberFormat="1" applyFont="1" applyFill="1" applyBorder="1" applyAlignment="1">
      <alignment vertical="center"/>
    </xf>
    <xf numFmtId="165" fontId="54" fillId="28" borderId="21" xfId="0" applyNumberFormat="1" applyFont="1" applyFill="1" applyBorder="1" applyAlignment="1">
      <alignment vertical="center"/>
    </xf>
    <xf numFmtId="165" fontId="53" fillId="29" borderId="20" xfId="0" applyNumberFormat="1" applyFont="1" applyFill="1" applyBorder="1" applyAlignment="1">
      <alignment vertical="center"/>
    </xf>
    <xf numFmtId="165" fontId="53" fillId="29" borderId="21" xfId="0" applyNumberFormat="1" applyFont="1" applyFill="1" applyBorder="1" applyAlignment="1">
      <alignment vertical="center"/>
    </xf>
    <xf numFmtId="165" fontId="53" fillId="30" borderId="20" xfId="0" applyNumberFormat="1" applyFont="1" applyFill="1" applyBorder="1" applyAlignment="1">
      <alignment vertical="center"/>
    </xf>
    <xf numFmtId="165" fontId="53" fillId="30" borderId="21" xfId="0" applyNumberFormat="1" applyFont="1" applyFill="1" applyBorder="1" applyAlignment="1">
      <alignment vertical="center"/>
    </xf>
    <xf numFmtId="165" fontId="19" fillId="30" borderId="22" xfId="0" applyNumberFormat="1" applyFont="1" applyFill="1" applyBorder="1" applyAlignment="1">
      <alignment vertical="center"/>
    </xf>
    <xf numFmtId="165" fontId="19" fillId="30" borderId="24" xfId="0" applyNumberFormat="1" applyFont="1" applyFill="1" applyBorder="1" applyAlignment="1">
      <alignment vertical="center"/>
    </xf>
    <xf numFmtId="165" fontId="53" fillId="31" borderId="21" xfId="0" applyNumberFormat="1" applyFont="1" applyFill="1" applyBorder="1" applyAlignment="1">
      <alignment vertical="center"/>
    </xf>
    <xf numFmtId="165" fontId="12" fillId="4" borderId="95" xfId="0" applyNumberFormat="1" applyFont="1" applyFill="1" applyBorder="1" applyAlignment="1">
      <alignment horizontal="center" vertical="center"/>
    </xf>
    <xf numFmtId="165" fontId="12" fillId="4" borderId="96" xfId="0" applyNumberFormat="1" applyFont="1" applyFill="1" applyBorder="1" applyAlignment="1">
      <alignment horizontal="center" vertical="center"/>
    </xf>
    <xf numFmtId="165" fontId="12" fillId="4" borderId="97" xfId="0" applyNumberFormat="1" applyFont="1" applyFill="1" applyBorder="1" applyAlignment="1">
      <alignment horizontal="center" vertical="center"/>
    </xf>
    <xf numFmtId="165" fontId="20" fillId="17" borderId="22" xfId="0" applyNumberFormat="1" applyFont="1" applyFill="1" applyBorder="1" applyAlignment="1">
      <alignment vertical="center"/>
    </xf>
    <xf numFmtId="165" fontId="51" fillId="17" borderId="23" xfId="0" applyNumberFormat="1" applyFont="1" applyFill="1" applyBorder="1" applyAlignment="1">
      <alignment vertical="center"/>
    </xf>
    <xf numFmtId="165" fontId="21" fillId="18" borderId="24" xfId="0" applyNumberFormat="1" applyFont="1" applyFill="1" applyBorder="1" applyAlignment="1">
      <alignment vertical="center"/>
    </xf>
    <xf numFmtId="9" fontId="45" fillId="21" borderId="2" xfId="3" applyNumberFormat="1" applyBorder="1" applyAlignment="1">
      <alignment horizontal="left" vertical="center"/>
    </xf>
    <xf numFmtId="165" fontId="55" fillId="9" borderId="17" xfId="0" applyNumberFormat="1" applyFont="1" applyFill="1" applyBorder="1" applyAlignment="1">
      <alignment vertical="center"/>
    </xf>
    <xf numFmtId="165" fontId="55" fillId="9" borderId="18" xfId="0" applyNumberFormat="1" applyFont="1" applyFill="1" applyBorder="1" applyAlignment="1">
      <alignment vertical="center"/>
    </xf>
    <xf numFmtId="165" fontId="57" fillId="9" borderId="19" xfId="0" applyNumberFormat="1" applyFont="1" applyFill="1" applyBorder="1" applyAlignment="1">
      <alignment vertical="center"/>
    </xf>
    <xf numFmtId="165" fontId="55" fillId="17" borderId="16" xfId="0" applyNumberFormat="1" applyFont="1" applyFill="1" applyBorder="1" applyAlignment="1">
      <alignment vertical="center"/>
    </xf>
    <xf numFmtId="165" fontId="57" fillId="18" borderId="21" xfId="0" applyNumberFormat="1" applyFont="1" applyFill="1" applyBorder="1" applyAlignment="1">
      <alignment vertical="center"/>
    </xf>
    <xf numFmtId="165" fontId="55" fillId="9" borderId="16" xfId="0" applyNumberFormat="1" applyFont="1" applyFill="1" applyBorder="1" applyAlignment="1">
      <alignment vertical="center"/>
    </xf>
    <xf numFmtId="165" fontId="57" fillId="9" borderId="21" xfId="0" applyNumberFormat="1" applyFont="1" applyFill="1" applyBorder="1" applyAlignment="1">
      <alignment vertical="center"/>
    </xf>
    <xf numFmtId="10" fontId="59" fillId="13" borderId="39" xfId="2" applyNumberFormat="1" applyFont="1" applyFill="1" applyBorder="1"/>
    <xf numFmtId="10" fontId="59" fillId="16" borderId="39" xfId="2" applyNumberFormat="1" applyFont="1" applyFill="1" applyBorder="1"/>
    <xf numFmtId="44" fontId="0" fillId="13" borderId="0" xfId="4" applyFont="1" applyFill="1" applyAlignment="1">
      <alignment horizontal="left" vertical="center"/>
    </xf>
    <xf numFmtId="9" fontId="0" fillId="13" borderId="0" xfId="0" applyNumberFormat="1" applyFill="1" applyAlignment="1">
      <alignment horizontal="left" vertical="center"/>
    </xf>
    <xf numFmtId="0" fontId="0" fillId="0" borderId="0" xfId="0" applyAlignment="1">
      <alignment horizontal="right"/>
    </xf>
    <xf numFmtId="0" fontId="33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44" fontId="0" fillId="0" borderId="0" xfId="4" applyFont="1"/>
    <xf numFmtId="44" fontId="0" fillId="0" borderId="0" xfId="0" applyNumberFormat="1"/>
    <xf numFmtId="0" fontId="27" fillId="0" borderId="0" xfId="0" applyFont="1" applyAlignment="1">
      <alignment vertical="center"/>
    </xf>
    <xf numFmtId="44" fontId="63" fillId="0" borderId="0" xfId="4" applyFont="1"/>
    <xf numFmtId="0" fontId="27" fillId="0" borderId="17" xfId="0" applyFont="1" applyBorder="1" applyAlignment="1">
      <alignment horizontal="left" vertical="center"/>
    </xf>
    <xf numFmtId="167" fontId="0" fillId="0" borderId="19" xfId="0" applyNumberFormat="1" applyBorder="1" applyAlignment="1">
      <alignment horizontal="left" vertical="center"/>
    </xf>
    <xf numFmtId="0" fontId="27" fillId="0" borderId="20" xfId="0" applyFont="1" applyBorder="1" applyAlignment="1">
      <alignment horizontal="left" vertical="center"/>
    </xf>
    <xf numFmtId="167" fontId="0" fillId="0" borderId="21" xfId="0" applyNumberFormat="1" applyBorder="1" applyAlignment="1">
      <alignment horizontal="left" vertical="center"/>
    </xf>
    <xf numFmtId="166" fontId="0" fillId="13" borderId="63" xfId="0" applyNumberFormat="1" applyFill="1" applyBorder="1" applyAlignment="1">
      <alignment horizontal="left" vertical="center"/>
    </xf>
    <xf numFmtId="166" fontId="0" fillId="13" borderId="51" xfId="0" applyNumberFormat="1" applyFill="1" applyBorder="1" applyAlignment="1">
      <alignment horizontal="left" vertical="center"/>
    </xf>
    <xf numFmtId="166" fontId="0" fillId="13" borderId="64" xfId="0" applyNumberFormat="1" applyFill="1" applyBorder="1" applyAlignment="1">
      <alignment horizontal="left" vertical="center"/>
    </xf>
    <xf numFmtId="10" fontId="31" fillId="14" borderId="52" xfId="1" applyNumberFormat="1" applyBorder="1" applyAlignment="1">
      <alignment horizontal="left" vertical="center"/>
    </xf>
    <xf numFmtId="10" fontId="31" fillId="14" borderId="48" xfId="1" applyNumberFormat="1" applyBorder="1" applyAlignment="1">
      <alignment horizontal="left" vertical="center"/>
    </xf>
    <xf numFmtId="10" fontId="31" fillId="14" borderId="53" xfId="1" applyNumberFormat="1" applyBorder="1" applyAlignment="1">
      <alignment horizontal="left" vertical="center"/>
    </xf>
    <xf numFmtId="0" fontId="27" fillId="13" borderId="63" xfId="0" applyFont="1" applyFill="1" applyBorder="1" applyAlignment="1">
      <alignment horizontal="left" vertical="center"/>
    </xf>
    <xf numFmtId="0" fontId="27" fillId="13" borderId="51" xfId="0" applyFont="1" applyFill="1" applyBorder="1" applyAlignment="1">
      <alignment horizontal="left" vertical="center"/>
    </xf>
    <xf numFmtId="0" fontId="27" fillId="13" borderId="64" xfId="0" applyFont="1" applyFill="1" applyBorder="1" applyAlignment="1">
      <alignment horizontal="left" vertical="center"/>
    </xf>
    <xf numFmtId="166" fontId="0" fillId="13" borderId="52" xfId="0" applyNumberFormat="1" applyFill="1" applyBorder="1" applyAlignment="1">
      <alignment horizontal="left" vertical="center"/>
    </xf>
    <xf numFmtId="166" fontId="0" fillId="13" borderId="48" xfId="0" applyNumberFormat="1" applyFill="1" applyBorder="1" applyAlignment="1">
      <alignment horizontal="left" vertical="center"/>
    </xf>
    <xf numFmtId="166" fontId="0" fillId="13" borderId="53" xfId="0" applyNumberFormat="1" applyFill="1" applyBorder="1" applyAlignment="1">
      <alignment horizontal="left" vertical="center"/>
    </xf>
    <xf numFmtId="0" fontId="27" fillId="13" borderId="34" xfId="0" applyFont="1" applyFill="1" applyBorder="1" applyAlignment="1">
      <alignment horizontal="right" vertical="center"/>
    </xf>
    <xf numFmtId="0" fontId="0" fillId="16" borderId="0" xfId="0" applyFill="1" applyAlignment="1">
      <alignment horizontal="left" vertical="center"/>
    </xf>
    <xf numFmtId="0" fontId="0" fillId="16" borderId="2" xfId="0" applyFill="1" applyBorder="1" applyAlignment="1">
      <alignment horizontal="left" vertical="center"/>
    </xf>
    <xf numFmtId="0" fontId="40" fillId="16" borderId="0" xfId="0" applyFont="1" applyFill="1" applyAlignment="1">
      <alignment horizontal="left" vertical="center"/>
    </xf>
    <xf numFmtId="0" fontId="40" fillId="16" borderId="2" xfId="0" applyFont="1" applyFill="1" applyBorder="1" applyAlignment="1">
      <alignment horizontal="left" vertical="center"/>
    </xf>
    <xf numFmtId="167" fontId="0" fillId="16" borderId="0" xfId="0" applyNumberFormat="1" applyFill="1" applyAlignment="1">
      <alignment horizontal="left" vertical="center"/>
    </xf>
    <xf numFmtId="0" fontId="43" fillId="16" borderId="0" xfId="0" applyFont="1" applyFill="1" applyAlignment="1">
      <alignment horizontal="left" vertical="center"/>
    </xf>
    <xf numFmtId="0" fontId="0" fillId="16" borderId="0" xfId="0" applyFill="1"/>
    <xf numFmtId="0" fontId="27" fillId="26" borderId="25" xfId="0" applyFont="1" applyFill="1" applyBorder="1" applyAlignment="1">
      <alignment horizontal="center" vertical="center"/>
    </xf>
    <xf numFmtId="0" fontId="33" fillId="16" borderId="0" xfId="0" applyFont="1" applyFill="1" applyAlignment="1">
      <alignment horizontal="left" vertical="center"/>
    </xf>
    <xf numFmtId="167" fontId="49" fillId="16" borderId="0" xfId="3" applyNumberFormat="1" applyFont="1" applyFill="1" applyAlignment="1">
      <alignment horizontal="left" vertical="center"/>
    </xf>
    <xf numFmtId="0" fontId="0" fillId="16" borderId="0" xfId="0" applyFill="1" applyAlignment="1">
      <alignment horizontal="center" vertical="center"/>
    </xf>
    <xf numFmtId="44" fontId="0" fillId="16" borderId="0" xfId="0" applyNumberFormat="1" applyFill="1" applyAlignment="1">
      <alignment horizontal="left" vertical="center"/>
    </xf>
    <xf numFmtId="0" fontId="0" fillId="16" borderId="0" xfId="0" applyFill="1" applyAlignment="1">
      <alignment vertical="center"/>
    </xf>
    <xf numFmtId="0" fontId="27" fillId="26" borderId="42" xfId="0" applyFont="1" applyFill="1" applyBorder="1" applyAlignment="1">
      <alignment horizontal="center" vertical="center"/>
    </xf>
    <xf numFmtId="0" fontId="33" fillId="16" borderId="0" xfId="0" applyFont="1" applyFill="1"/>
    <xf numFmtId="165" fontId="14" fillId="34" borderId="63" xfId="0" applyNumberFormat="1" applyFont="1" applyFill="1" applyBorder="1" applyAlignment="1">
      <alignment vertical="center"/>
    </xf>
    <xf numFmtId="165" fontId="14" fillId="34" borderId="51" xfId="0" applyNumberFormat="1" applyFont="1" applyFill="1" applyBorder="1" applyAlignment="1">
      <alignment vertical="center"/>
    </xf>
    <xf numFmtId="165" fontId="14" fillId="34" borderId="64" xfId="0" applyNumberFormat="1" applyFont="1" applyFill="1" applyBorder="1" applyAlignment="1">
      <alignment vertical="center"/>
    </xf>
    <xf numFmtId="165" fontId="14" fillId="34" borderId="52" xfId="0" applyNumberFormat="1" applyFont="1" applyFill="1" applyBorder="1" applyAlignment="1">
      <alignment vertical="center"/>
    </xf>
    <xf numFmtId="165" fontId="14" fillId="34" borderId="48" xfId="0" applyNumberFormat="1" applyFont="1" applyFill="1" applyBorder="1" applyAlignment="1">
      <alignment vertical="center"/>
    </xf>
    <xf numFmtId="165" fontId="14" fillId="34" borderId="53" xfId="0" applyNumberFormat="1" applyFont="1" applyFill="1" applyBorder="1" applyAlignment="1">
      <alignment vertical="center"/>
    </xf>
    <xf numFmtId="165" fontId="18" fillId="35" borderId="45" xfId="0" applyNumberFormat="1" applyFont="1" applyFill="1" applyBorder="1" applyAlignment="1">
      <alignment vertical="center"/>
    </xf>
    <xf numFmtId="165" fontId="35" fillId="35" borderId="25" xfId="0" applyNumberFormat="1" applyFont="1" applyFill="1" applyBorder="1" applyAlignment="1">
      <alignment vertical="center"/>
    </xf>
    <xf numFmtId="165" fontId="35" fillId="35" borderId="42" xfId="0" applyNumberFormat="1" applyFont="1" applyFill="1" applyBorder="1" applyAlignment="1">
      <alignment vertical="center"/>
    </xf>
    <xf numFmtId="165" fontId="18" fillId="35" borderId="80" xfId="0" applyNumberFormat="1" applyFont="1" applyFill="1" applyBorder="1" applyAlignment="1">
      <alignment vertical="center"/>
    </xf>
    <xf numFmtId="165" fontId="18" fillId="35" borderId="22" xfId="0" applyNumberFormat="1" applyFont="1" applyFill="1" applyBorder="1" applyAlignment="1">
      <alignment vertical="center"/>
    </xf>
    <xf numFmtId="165" fontId="18" fillId="35" borderId="24" xfId="0" applyNumberFormat="1" applyFont="1" applyFill="1" applyBorder="1" applyAlignment="1">
      <alignment vertical="center"/>
    </xf>
    <xf numFmtId="165" fontId="12" fillId="0" borderId="4" xfId="0" applyNumberFormat="1" applyFont="1" applyBorder="1" applyAlignment="1">
      <alignment horizontal="left" vertical="center"/>
    </xf>
    <xf numFmtId="165" fontId="14" fillId="36" borderId="17" xfId="0" applyNumberFormat="1" applyFont="1" applyFill="1" applyBorder="1" applyAlignment="1">
      <alignment vertical="center"/>
    </xf>
    <xf numFmtId="165" fontId="14" fillId="36" borderId="19" xfId="0" applyNumberFormat="1" applyFont="1" applyFill="1" applyBorder="1" applyAlignment="1">
      <alignment vertical="center"/>
    </xf>
    <xf numFmtId="165" fontId="14" fillId="36" borderId="20" xfId="0" applyNumberFormat="1" applyFont="1" applyFill="1" applyBorder="1" applyAlignment="1">
      <alignment vertical="center"/>
    </xf>
    <xf numFmtId="165" fontId="14" fillId="36" borderId="21" xfId="0" applyNumberFormat="1" applyFont="1" applyFill="1" applyBorder="1" applyAlignment="1">
      <alignment vertical="center"/>
    </xf>
    <xf numFmtId="10" fontId="14" fillId="5" borderId="32" xfId="2" applyNumberFormat="1" applyFont="1" applyFill="1" applyBorder="1" applyAlignment="1">
      <alignment vertical="center"/>
    </xf>
    <xf numFmtId="10" fontId="14" fillId="5" borderId="20" xfId="2" applyNumberFormat="1" applyFont="1" applyFill="1" applyBorder="1" applyAlignment="1">
      <alignment vertical="center"/>
    </xf>
    <xf numFmtId="10" fontId="14" fillId="5" borderId="22" xfId="2" applyNumberFormat="1" applyFont="1" applyFill="1" applyBorder="1" applyAlignment="1">
      <alignment vertical="center"/>
    </xf>
    <xf numFmtId="165" fontId="12" fillId="4" borderId="98" xfId="0" applyNumberFormat="1" applyFont="1" applyFill="1" applyBorder="1" applyAlignment="1">
      <alignment vertical="center"/>
    </xf>
    <xf numFmtId="164" fontId="64" fillId="13" borderId="16" xfId="1" applyNumberFormat="1" applyFont="1" applyFill="1" applyBorder="1" applyAlignment="1">
      <alignment horizontal="center" vertical="center"/>
    </xf>
    <xf numFmtId="0" fontId="39" fillId="0" borderId="91" xfId="0" applyFont="1" applyBorder="1" applyAlignment="1">
      <alignment horizontal="right" vertical="center"/>
    </xf>
    <xf numFmtId="165" fontId="56" fillId="0" borderId="91" xfId="0" applyNumberFormat="1" applyFont="1" applyBorder="1" applyAlignment="1">
      <alignment horizontal="right" vertical="center"/>
    </xf>
    <xf numFmtId="165" fontId="16" fillId="3" borderId="99" xfId="0" applyNumberFormat="1" applyFont="1" applyFill="1" applyBorder="1" applyAlignment="1">
      <alignment horizontal="center" vertical="center"/>
    </xf>
    <xf numFmtId="9" fontId="14" fillId="33" borderId="52" xfId="2" applyFont="1" applyFill="1" applyBorder="1" applyAlignment="1">
      <alignment vertical="center"/>
    </xf>
    <xf numFmtId="9" fontId="14" fillId="33" borderId="48" xfId="2" applyFont="1" applyFill="1" applyBorder="1" applyAlignment="1">
      <alignment vertical="center"/>
    </xf>
    <xf numFmtId="9" fontId="14" fillId="33" borderId="53" xfId="2" applyFont="1" applyFill="1" applyBorder="1" applyAlignment="1">
      <alignment vertical="center"/>
    </xf>
    <xf numFmtId="165" fontId="9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27" xfId="0" applyBorder="1" applyAlignment="1">
      <alignment vertical="center"/>
    </xf>
    <xf numFmtId="167" fontId="0" fillId="0" borderId="28" xfId="0" applyNumberFormat="1" applyBorder="1" applyAlignment="1">
      <alignment vertical="center"/>
    </xf>
    <xf numFmtId="0" fontId="0" fillId="0" borderId="38" xfId="0" applyBorder="1" applyAlignment="1">
      <alignment vertical="center"/>
    </xf>
    <xf numFmtId="167" fontId="0" fillId="0" borderId="39" xfId="0" applyNumberFormat="1" applyBorder="1" applyAlignment="1">
      <alignment vertical="center"/>
    </xf>
    <xf numFmtId="0" fontId="0" fillId="0" borderId="29" xfId="0" applyBorder="1" applyAlignment="1">
      <alignment vertical="center"/>
    </xf>
    <xf numFmtId="167" fontId="0" fillId="0" borderId="30" xfId="0" applyNumberFormat="1" applyBorder="1" applyAlignment="1">
      <alignment vertical="center"/>
    </xf>
    <xf numFmtId="165" fontId="9" fillId="3" borderId="2" xfId="0" applyNumberFormat="1" applyFont="1" applyFill="1" applyBorder="1" applyAlignment="1">
      <alignment vertical="center"/>
    </xf>
    <xf numFmtId="165" fontId="3" fillId="37" borderId="2" xfId="0" applyNumberFormat="1" applyFont="1" applyFill="1" applyBorder="1"/>
    <xf numFmtId="165" fontId="3" fillId="37" borderId="2" xfId="0" applyNumberFormat="1" applyFont="1" applyFill="1" applyBorder="1" applyAlignment="1">
      <alignment wrapText="1"/>
    </xf>
    <xf numFmtId="165" fontId="5" fillId="37" borderId="2" xfId="0" applyNumberFormat="1" applyFont="1" applyFill="1" applyBorder="1"/>
    <xf numFmtId="165" fontId="15" fillId="37" borderId="2" xfId="0" applyNumberFormat="1" applyFont="1" applyFill="1" applyBorder="1" applyAlignment="1">
      <alignment horizontal="right" vertical="center"/>
    </xf>
    <xf numFmtId="1" fontId="15" fillId="37" borderId="2" xfId="0" applyNumberFormat="1" applyFont="1" applyFill="1" applyBorder="1" applyAlignment="1">
      <alignment horizontal="right" vertical="center"/>
    </xf>
    <xf numFmtId="1" fontId="61" fillId="37" borderId="2" xfId="0" applyNumberFormat="1" applyFont="1" applyFill="1" applyBorder="1" applyAlignment="1">
      <alignment horizontal="right" vertical="center"/>
    </xf>
    <xf numFmtId="1" fontId="22" fillId="37" borderId="2" xfId="0" applyNumberFormat="1" applyFont="1" applyFill="1" applyBorder="1" applyAlignment="1">
      <alignment horizontal="right" vertical="center"/>
    </xf>
    <xf numFmtId="1" fontId="15" fillId="37" borderId="2" xfId="0" applyNumberFormat="1" applyFont="1" applyFill="1" applyBorder="1" applyAlignment="1">
      <alignment vertical="center"/>
    </xf>
    <xf numFmtId="165" fontId="5" fillId="37" borderId="2" xfId="0" applyNumberFormat="1" applyFont="1" applyFill="1" applyBorder="1" applyAlignment="1">
      <alignment vertical="center"/>
    </xf>
    <xf numFmtId="165" fontId="4" fillId="37" borderId="2" xfId="0" applyNumberFormat="1" applyFont="1" applyFill="1" applyBorder="1"/>
    <xf numFmtId="0" fontId="28" fillId="16" borderId="2" xfId="0" applyFont="1" applyFill="1" applyBorder="1" applyAlignment="1">
      <alignment horizontal="center" vertical="center"/>
    </xf>
    <xf numFmtId="165" fontId="6" fillId="37" borderId="2" xfId="0" applyNumberFormat="1" applyFont="1" applyFill="1" applyBorder="1"/>
    <xf numFmtId="165" fontId="9" fillId="37" borderId="2" xfId="0" applyNumberFormat="1" applyFont="1" applyFill="1" applyBorder="1"/>
    <xf numFmtId="0" fontId="29" fillId="16" borderId="2" xfId="0" applyFont="1" applyFill="1" applyBorder="1" applyAlignment="1">
      <alignment horizontal="center" vertical="center"/>
    </xf>
    <xf numFmtId="165" fontId="8" fillId="37" borderId="2" xfId="0" applyNumberFormat="1" applyFont="1" applyFill="1" applyBorder="1"/>
    <xf numFmtId="165" fontId="11" fillId="37" borderId="2" xfId="0" applyNumberFormat="1" applyFont="1" applyFill="1" applyBorder="1"/>
    <xf numFmtId="0" fontId="30" fillId="16" borderId="0" xfId="0" applyFont="1" applyFill="1" applyAlignment="1">
      <alignment horizontal="center" vertical="center"/>
    </xf>
    <xf numFmtId="0" fontId="60" fillId="16" borderId="0" xfId="0" applyFont="1" applyFill="1" applyAlignment="1">
      <alignment horizontal="center" vertical="center"/>
    </xf>
    <xf numFmtId="0" fontId="58" fillId="16" borderId="0" xfId="1" applyNumberFormat="1" applyFont="1" applyFill="1" applyAlignment="1">
      <alignment horizontal="center" vertical="center"/>
    </xf>
    <xf numFmtId="16" fontId="30" fillId="16" borderId="0" xfId="0" applyNumberFormat="1" applyFont="1" applyFill="1" applyAlignment="1">
      <alignment horizontal="center" vertical="center"/>
    </xf>
    <xf numFmtId="165" fontId="3" fillId="16" borderId="0" xfId="0" applyNumberFormat="1" applyFont="1" applyFill="1"/>
    <xf numFmtId="165" fontId="9" fillId="16" borderId="0" xfId="0" applyNumberFormat="1" applyFont="1" applyFill="1"/>
    <xf numFmtId="165" fontId="9" fillId="16" borderId="0" xfId="0" applyNumberFormat="1" applyFont="1" applyFill="1" applyAlignment="1">
      <alignment vertical="center"/>
    </xf>
    <xf numFmtId="165" fontId="9" fillId="37" borderId="2" xfId="0" applyNumberFormat="1" applyFont="1" applyFill="1" applyBorder="1" applyAlignment="1">
      <alignment vertical="center"/>
    </xf>
    <xf numFmtId="0" fontId="13" fillId="16" borderId="0" xfId="0" applyFont="1" applyFill="1"/>
    <xf numFmtId="9" fontId="16" fillId="37" borderId="2" xfId="0" applyNumberFormat="1" applyFont="1" applyFill="1" applyBorder="1" applyAlignment="1">
      <alignment horizontal="right" vertical="center"/>
    </xf>
    <xf numFmtId="0" fontId="2" fillId="37" borderId="2" xfId="0" applyFont="1" applyFill="1" applyBorder="1" applyAlignment="1">
      <alignment vertical="center"/>
    </xf>
    <xf numFmtId="44" fontId="17" fillId="37" borderId="2" xfId="4" applyFont="1" applyFill="1" applyBorder="1" applyAlignment="1">
      <alignment horizontal="right" vertical="center"/>
    </xf>
    <xf numFmtId="44" fontId="2" fillId="37" borderId="2" xfId="4" applyFont="1" applyFill="1" applyBorder="1" applyAlignment="1">
      <alignment vertical="center"/>
    </xf>
    <xf numFmtId="44" fontId="0" fillId="16" borderId="0" xfId="4" applyFont="1" applyFill="1" applyAlignment="1">
      <alignment vertical="center"/>
    </xf>
    <xf numFmtId="0" fontId="66" fillId="16" borderId="0" xfId="0" applyFont="1" applyFill="1" applyAlignment="1">
      <alignment horizontal="center" vertical="center"/>
    </xf>
    <xf numFmtId="0" fontId="33" fillId="16" borderId="0" xfId="0" applyFont="1" applyFill="1" applyAlignment="1">
      <alignment horizontal="right" vertical="center"/>
    </xf>
    <xf numFmtId="0" fontId="2" fillId="37" borderId="2" xfId="0" applyFont="1" applyFill="1" applyBorder="1" applyAlignment="1">
      <alignment horizontal="right" vertical="center"/>
    </xf>
    <xf numFmtId="166" fontId="0" fillId="16" borderId="0" xfId="0" applyNumberFormat="1" applyFill="1" applyAlignment="1">
      <alignment horizontal="right" vertical="center"/>
    </xf>
    <xf numFmtId="165" fontId="0" fillId="16" borderId="0" xfId="0" applyNumberFormat="1" applyFill="1" applyAlignment="1">
      <alignment horizontal="right" vertical="center"/>
    </xf>
    <xf numFmtId="0" fontId="27" fillId="0" borderId="31" xfId="0" applyFont="1" applyBorder="1" applyAlignment="1">
      <alignment horizontal="left" vertical="center"/>
    </xf>
    <xf numFmtId="167" fontId="0" fillId="0" borderId="40" xfId="0" applyNumberFormat="1" applyBorder="1" applyAlignment="1">
      <alignment horizontal="left" vertical="center"/>
    </xf>
    <xf numFmtId="0" fontId="41" fillId="0" borderId="66" xfId="0" applyFont="1" applyBorder="1" applyAlignment="1">
      <alignment vertical="center"/>
    </xf>
    <xf numFmtId="167" fontId="43" fillId="0" borderId="67" xfId="0" applyNumberFormat="1" applyFont="1" applyBorder="1" applyAlignment="1">
      <alignment vertical="center"/>
    </xf>
    <xf numFmtId="0" fontId="41" fillId="0" borderId="6" xfId="0" applyFont="1" applyBorder="1" applyAlignment="1">
      <alignment vertical="center"/>
    </xf>
    <xf numFmtId="167" fontId="43" fillId="0" borderId="7" xfId="0" applyNumberFormat="1" applyFont="1" applyBorder="1" applyAlignment="1">
      <alignment vertical="center"/>
    </xf>
    <xf numFmtId="0" fontId="41" fillId="0" borderId="8" xfId="0" applyFont="1" applyBorder="1" applyAlignment="1">
      <alignment vertical="center"/>
    </xf>
    <xf numFmtId="167" fontId="43" fillId="0" borderId="33" xfId="0" applyNumberFormat="1" applyFont="1" applyBorder="1" applyAlignment="1">
      <alignment vertical="center"/>
    </xf>
    <xf numFmtId="0" fontId="1" fillId="22" borderId="85" xfId="0" applyFont="1" applyFill="1" applyBorder="1" applyAlignment="1">
      <alignment horizontal="center" vertical="center"/>
    </xf>
    <xf numFmtId="0" fontId="1" fillId="22" borderId="86" xfId="0" applyFont="1" applyFill="1" applyBorder="1" applyAlignment="1">
      <alignment horizontal="center" vertical="center"/>
    </xf>
    <xf numFmtId="0" fontId="27" fillId="22" borderId="87" xfId="0" applyFont="1" applyFill="1" applyBorder="1" applyAlignment="1">
      <alignment horizontal="center" vertical="center"/>
    </xf>
    <xf numFmtId="0" fontId="1" fillId="22" borderId="84" xfId="0" applyFont="1" applyFill="1" applyBorder="1" applyAlignment="1">
      <alignment horizontal="center" vertical="center"/>
    </xf>
    <xf numFmtId="165" fontId="12" fillId="4" borderId="100" xfId="0" applyNumberFormat="1" applyFont="1" applyFill="1" applyBorder="1" applyAlignment="1">
      <alignment horizontal="left" vertical="center"/>
    </xf>
    <xf numFmtId="165" fontId="12" fillId="4" borderId="101" xfId="0" applyNumberFormat="1" applyFont="1" applyFill="1" applyBorder="1" applyAlignment="1">
      <alignment horizontal="center" vertical="center"/>
    </xf>
    <xf numFmtId="165" fontId="12" fillId="4" borderId="98" xfId="0" applyNumberFormat="1" applyFont="1" applyFill="1" applyBorder="1" applyAlignment="1">
      <alignment horizontal="center" vertical="center"/>
    </xf>
    <xf numFmtId="0" fontId="0" fillId="0" borderId="2" xfId="0" applyBorder="1"/>
    <xf numFmtId="0" fontId="27" fillId="0" borderId="7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69" xfId="0" applyFont="1" applyBorder="1" applyAlignment="1">
      <alignment horizontal="center" vertical="center"/>
    </xf>
    <xf numFmtId="44" fontId="62" fillId="14" borderId="72" xfId="1" applyNumberFormat="1" applyFont="1" applyBorder="1" applyAlignment="1">
      <alignment vertical="center"/>
    </xf>
    <xf numFmtId="44" fontId="0" fillId="0" borderId="93" xfId="0" applyNumberFormat="1" applyBorder="1"/>
    <xf numFmtId="10" fontId="0" fillId="0" borderId="93" xfId="2" applyNumberFormat="1" applyFont="1" applyBorder="1"/>
    <xf numFmtId="0" fontId="0" fillId="0" borderId="69" xfId="0" applyBorder="1"/>
    <xf numFmtId="0" fontId="27" fillId="0" borderId="42" xfId="0" applyFont="1" applyBorder="1"/>
    <xf numFmtId="0" fontId="0" fillId="19" borderId="0" xfId="0" applyFill="1" applyAlignment="1">
      <alignment horizontal="center" vertical="center"/>
    </xf>
    <xf numFmtId="0" fontId="30" fillId="26" borderId="0" xfId="0" applyFont="1" applyFill="1" applyAlignment="1">
      <alignment horizontal="center" vertical="center"/>
    </xf>
    <xf numFmtId="0" fontId="60" fillId="25" borderId="0" xfId="0" applyFont="1" applyFill="1" applyAlignment="1">
      <alignment horizontal="center" vertical="center"/>
    </xf>
    <xf numFmtId="165" fontId="67" fillId="10" borderId="21" xfId="0" applyNumberFormat="1" applyFont="1" applyFill="1" applyBorder="1" applyAlignment="1">
      <alignment vertical="center"/>
    </xf>
    <xf numFmtId="165" fontId="67" fillId="3" borderId="19" xfId="0" applyNumberFormat="1" applyFont="1" applyFill="1" applyBorder="1" applyAlignment="1">
      <alignment vertical="center"/>
    </xf>
    <xf numFmtId="165" fontId="67" fillId="3" borderId="21" xfId="0" applyNumberFormat="1" applyFont="1" applyFill="1" applyBorder="1" applyAlignment="1">
      <alignment vertical="center"/>
    </xf>
    <xf numFmtId="0" fontId="60" fillId="26" borderId="0" xfId="0" applyFont="1" applyFill="1" applyAlignment="1">
      <alignment horizontal="center" vertical="center"/>
    </xf>
    <xf numFmtId="0" fontId="27" fillId="38" borderId="17" xfId="0" applyFont="1" applyFill="1" applyBorder="1" applyAlignment="1">
      <alignment horizontal="left" vertical="center"/>
    </xf>
    <xf numFmtId="167" fontId="0" fillId="38" borderId="19" xfId="0" applyNumberFormat="1" applyFill="1" applyBorder="1" applyAlignment="1">
      <alignment horizontal="left" vertical="center"/>
    </xf>
    <xf numFmtId="0" fontId="27" fillId="38" borderId="20" xfId="0" applyFont="1" applyFill="1" applyBorder="1" applyAlignment="1">
      <alignment horizontal="left" vertical="center"/>
    </xf>
    <xf numFmtId="167" fontId="0" fillId="38" borderId="21" xfId="0" applyNumberFormat="1" applyFill="1" applyBorder="1" applyAlignment="1">
      <alignment horizontal="left" vertical="center"/>
    </xf>
    <xf numFmtId="0" fontId="27" fillId="38" borderId="22" xfId="0" applyFont="1" applyFill="1" applyBorder="1" applyAlignment="1">
      <alignment horizontal="left" vertical="center"/>
    </xf>
    <xf numFmtId="167" fontId="0" fillId="38" borderId="24" xfId="0" applyNumberFormat="1" applyFill="1" applyBorder="1" applyAlignment="1">
      <alignment horizontal="left" vertical="center"/>
    </xf>
    <xf numFmtId="0" fontId="60" fillId="19" borderId="0" xfId="0" applyFont="1" applyFill="1" applyAlignment="1">
      <alignment horizontal="center" vertical="center"/>
    </xf>
    <xf numFmtId="165" fontId="52" fillId="10" borderId="21" xfId="0" applyNumberFormat="1" applyFont="1" applyFill="1" applyBorder="1" applyAlignment="1">
      <alignment vertical="center"/>
    </xf>
    <xf numFmtId="0" fontId="30" fillId="16" borderId="0" xfId="0" applyFont="1" applyFill="1" applyAlignment="1">
      <alignment horizontal="left" vertical="center"/>
    </xf>
    <xf numFmtId="0" fontId="58" fillId="25" borderId="0" xfId="1" applyNumberFormat="1" applyFont="1" applyFill="1" applyAlignment="1">
      <alignment horizontal="center" vertical="center"/>
    </xf>
    <xf numFmtId="165" fontId="54" fillId="10" borderId="21" xfId="0" applyNumberFormat="1" applyFont="1" applyFill="1" applyBorder="1" applyAlignment="1">
      <alignment vertical="center"/>
    </xf>
    <xf numFmtId="165" fontId="69" fillId="3" borderId="21" xfId="0" applyNumberFormat="1" applyFont="1" applyFill="1" applyBorder="1" applyAlignment="1">
      <alignment vertical="center"/>
    </xf>
    <xf numFmtId="0" fontId="0" fillId="25" borderId="0" xfId="0" applyFill="1" applyAlignment="1">
      <alignment horizontal="center" vertical="center"/>
    </xf>
    <xf numFmtId="0" fontId="1" fillId="0" borderId="78" xfId="0" applyFont="1" applyBorder="1" applyAlignment="1">
      <alignment horizontal="left" vertical="center"/>
    </xf>
    <xf numFmtId="164" fontId="2" fillId="16" borderId="76" xfId="0" applyNumberFormat="1" applyFont="1" applyFill="1" applyBorder="1" applyAlignment="1">
      <alignment horizontal="left" vertical="center"/>
    </xf>
    <xf numFmtId="164" fontId="2" fillId="20" borderId="105" xfId="0" applyNumberFormat="1" applyFont="1" applyFill="1" applyBorder="1" applyAlignment="1">
      <alignment horizontal="left" vertical="center"/>
    </xf>
    <xf numFmtId="164" fontId="2" fillId="20" borderId="76" xfId="0" applyNumberFormat="1" applyFont="1" applyFill="1" applyBorder="1" applyAlignment="1">
      <alignment horizontal="left" vertical="center"/>
    </xf>
    <xf numFmtId="164" fontId="2" fillId="20" borderId="79" xfId="0" applyNumberFormat="1" applyFont="1" applyFill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164" fontId="2" fillId="16" borderId="38" xfId="0" applyNumberFormat="1" applyFont="1" applyFill="1" applyBorder="1" applyAlignment="1">
      <alignment horizontal="left" vertical="center"/>
    </xf>
    <xf numFmtId="164" fontId="2" fillId="13" borderId="38" xfId="0" applyNumberFormat="1" applyFont="1" applyFill="1" applyBorder="1" applyAlignment="1">
      <alignment horizontal="left" vertical="center"/>
    </xf>
    <xf numFmtId="164" fontId="2" fillId="13" borderId="29" xfId="0" applyNumberFormat="1" applyFont="1" applyFill="1" applyBorder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58" fillId="0" borderId="0" xfId="1" applyNumberFormat="1" applyFont="1" applyFill="1" applyAlignment="1">
      <alignment horizontal="center" vertical="center"/>
    </xf>
    <xf numFmtId="16" fontId="30" fillId="0" borderId="0" xfId="0" applyNumberFormat="1" applyFont="1" applyAlignment="1">
      <alignment horizontal="center" vertical="center"/>
    </xf>
    <xf numFmtId="165" fontId="10" fillId="0" borderId="63" xfId="0" applyNumberFormat="1" applyFont="1" applyBorder="1" applyAlignment="1">
      <alignment horizontal="center" vertical="center"/>
    </xf>
    <xf numFmtId="165" fontId="10" fillId="0" borderId="82" xfId="0" applyNumberFormat="1" applyFont="1" applyBorder="1" applyAlignment="1">
      <alignment horizontal="center" vertical="center"/>
    </xf>
    <xf numFmtId="165" fontId="10" fillId="0" borderId="83" xfId="0" applyNumberFormat="1" applyFont="1" applyBorder="1" applyAlignment="1">
      <alignment horizontal="center" vertical="center"/>
    </xf>
    <xf numFmtId="165" fontId="65" fillId="4" borderId="25" xfId="0" applyNumberFormat="1" applyFont="1" applyFill="1" applyBorder="1" applyAlignment="1">
      <alignment horizontal="center" vertical="center"/>
    </xf>
    <xf numFmtId="165" fontId="65" fillId="4" borderId="26" xfId="0" applyNumberFormat="1" applyFont="1" applyFill="1" applyBorder="1" applyAlignment="1">
      <alignment horizontal="center" vertical="center"/>
    </xf>
    <xf numFmtId="165" fontId="65" fillId="4" borderId="54" xfId="0" applyNumberFormat="1" applyFont="1" applyFill="1" applyBorder="1" applyAlignment="1">
      <alignment horizontal="center" vertical="center"/>
    </xf>
    <xf numFmtId="165" fontId="12" fillId="4" borderId="9" xfId="0" applyNumberFormat="1" applyFont="1" applyFill="1" applyBorder="1" applyAlignment="1">
      <alignment vertical="center"/>
    </xf>
    <xf numFmtId="0" fontId="36" fillId="0" borderId="3" xfId="0" applyFont="1" applyBorder="1"/>
    <xf numFmtId="165" fontId="12" fillId="4" borderId="25" xfId="0" applyNumberFormat="1" applyFont="1" applyFill="1" applyBorder="1" applyAlignment="1">
      <alignment horizontal="left" vertical="center"/>
    </xf>
    <xf numFmtId="165" fontId="12" fillId="4" borderId="54" xfId="0" applyNumberFormat="1" applyFont="1" applyFill="1" applyBorder="1" applyAlignment="1">
      <alignment horizontal="left" vertical="center"/>
    </xf>
    <xf numFmtId="0" fontId="37" fillId="13" borderId="25" xfId="0" applyFont="1" applyFill="1" applyBorder="1" applyAlignment="1">
      <alignment horizontal="center" vertical="center"/>
    </xf>
    <xf numFmtId="0" fontId="37" fillId="13" borderId="54" xfId="0" applyFont="1" applyFill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/>
    </xf>
    <xf numFmtId="10" fontId="9" fillId="24" borderId="64" xfId="2" applyNumberFormat="1" applyFont="1" applyFill="1" applyBorder="1" applyAlignment="1">
      <alignment horizontal="center" vertical="center"/>
    </xf>
    <xf numFmtId="10" fontId="9" fillId="24" borderId="103" xfId="2" applyNumberFormat="1" applyFont="1" applyFill="1" applyBorder="1" applyAlignment="1">
      <alignment horizontal="center" vertical="center"/>
    </xf>
    <xf numFmtId="10" fontId="9" fillId="24" borderId="104" xfId="2" applyNumberFormat="1" applyFont="1" applyFill="1" applyBorder="1" applyAlignment="1">
      <alignment horizontal="center" vertical="center"/>
    </xf>
    <xf numFmtId="165" fontId="24" fillId="4" borderId="9" xfId="0" applyNumberFormat="1" applyFont="1" applyFill="1" applyBorder="1" applyAlignment="1">
      <alignment horizontal="center" vertical="center"/>
    </xf>
    <xf numFmtId="0" fontId="7" fillId="0" borderId="3" xfId="0" applyFont="1" applyBorder="1"/>
    <xf numFmtId="0" fontId="44" fillId="13" borderId="72" xfId="0" applyFont="1" applyFill="1" applyBorder="1" applyAlignment="1">
      <alignment horizontal="center" vertical="center"/>
    </xf>
    <xf numFmtId="0" fontId="44" fillId="13" borderId="93" xfId="0" applyFont="1" applyFill="1" applyBorder="1" applyAlignment="1">
      <alignment horizontal="center" vertical="center"/>
    </xf>
    <xf numFmtId="0" fontId="44" fillId="13" borderId="69" xfId="0" applyFont="1" applyFill="1" applyBorder="1" applyAlignment="1">
      <alignment horizontal="center" vertical="center"/>
    </xf>
    <xf numFmtId="0" fontId="41" fillId="19" borderId="36" xfId="0" applyFont="1" applyFill="1" applyBorder="1" applyAlignment="1">
      <alignment horizontal="center" vertical="center"/>
    </xf>
    <xf numFmtId="0" fontId="41" fillId="19" borderId="75" xfId="0" applyFont="1" applyFill="1" applyBorder="1" applyAlignment="1">
      <alignment horizontal="center" vertical="center"/>
    </xf>
    <xf numFmtId="0" fontId="41" fillId="19" borderId="37" xfId="0" applyFont="1" applyFill="1" applyBorder="1" applyAlignment="1">
      <alignment horizontal="center" vertical="center"/>
    </xf>
    <xf numFmtId="0" fontId="41" fillId="22" borderId="9" xfId="0" applyFont="1" applyFill="1" applyBorder="1" applyAlignment="1">
      <alignment horizontal="center" vertical="center"/>
    </xf>
    <xf numFmtId="0" fontId="41" fillId="22" borderId="94" xfId="0" applyFont="1" applyFill="1" applyBorder="1" applyAlignment="1">
      <alignment horizontal="center" vertical="center"/>
    </xf>
    <xf numFmtId="0" fontId="41" fillId="22" borderId="3" xfId="0" applyFont="1" applyFill="1" applyBorder="1" applyAlignment="1">
      <alignment horizontal="center" vertical="center"/>
    </xf>
    <xf numFmtId="0" fontId="42" fillId="19" borderId="9" xfId="0" applyFont="1" applyFill="1" applyBorder="1" applyAlignment="1">
      <alignment horizontal="center" vertical="center"/>
    </xf>
    <xf numFmtId="0" fontId="42" fillId="19" borderId="3" xfId="0" applyFont="1" applyFill="1" applyBorder="1" applyAlignment="1">
      <alignment horizontal="center" vertical="center"/>
    </xf>
    <xf numFmtId="0" fontId="27" fillId="22" borderId="25" xfId="0" applyFont="1" applyFill="1" applyBorder="1" applyAlignment="1">
      <alignment horizontal="right" vertical="center"/>
    </xf>
    <xf numFmtId="0" fontId="27" fillId="22" borderId="54" xfId="0" applyFont="1" applyFill="1" applyBorder="1" applyAlignment="1">
      <alignment horizontal="right" vertical="center"/>
    </xf>
    <xf numFmtId="164" fontId="58" fillId="32" borderId="25" xfId="1" applyNumberFormat="1" applyFont="1" applyFill="1" applyBorder="1" applyAlignment="1">
      <alignment horizontal="center" vertical="center"/>
    </xf>
    <xf numFmtId="10" fontId="58" fillId="32" borderId="54" xfId="1" applyNumberFormat="1" applyFont="1" applyFill="1" applyBorder="1" applyAlignment="1">
      <alignment horizontal="center" vertical="center"/>
    </xf>
    <xf numFmtId="0" fontId="27" fillId="32" borderId="25" xfId="0" applyFont="1" applyFill="1" applyBorder="1" applyAlignment="1">
      <alignment horizontal="center"/>
    </xf>
    <xf numFmtId="0" fontId="27" fillId="32" borderId="54" xfId="0" applyFont="1" applyFill="1" applyBorder="1" applyAlignment="1">
      <alignment horizontal="center"/>
    </xf>
    <xf numFmtId="0" fontId="27" fillId="26" borderId="25" xfId="0" applyFont="1" applyFill="1" applyBorder="1" applyAlignment="1">
      <alignment horizontal="center" vertical="center"/>
    </xf>
    <xf numFmtId="0" fontId="27" fillId="26" borderId="54" xfId="0" applyFont="1" applyFill="1" applyBorder="1" applyAlignment="1">
      <alignment horizontal="center" vertical="center"/>
    </xf>
    <xf numFmtId="166" fontId="48" fillId="32" borderId="25" xfId="1" applyNumberFormat="1" applyFont="1" applyFill="1" applyBorder="1" applyAlignment="1">
      <alignment horizontal="center" vertical="center"/>
    </xf>
    <xf numFmtId="166" fontId="48" fillId="32" borderId="54" xfId="1" applyNumberFormat="1" applyFont="1" applyFill="1" applyBorder="1" applyAlignment="1">
      <alignment horizontal="center" vertical="center"/>
    </xf>
    <xf numFmtId="0" fontId="42" fillId="26" borderId="88" xfId="0" applyFont="1" applyFill="1" applyBorder="1" applyAlignment="1">
      <alignment horizontal="center" vertical="center"/>
    </xf>
    <xf numFmtId="0" fontId="42" fillId="26" borderId="89" xfId="0" applyFont="1" applyFill="1" applyBorder="1" applyAlignment="1">
      <alignment horizontal="center" vertical="center"/>
    </xf>
    <xf numFmtId="44" fontId="58" fillId="32" borderId="25" xfId="4" applyFont="1" applyFill="1" applyBorder="1" applyAlignment="1">
      <alignment horizontal="center" vertical="center"/>
    </xf>
    <xf numFmtId="44" fontId="58" fillId="32" borderId="54" xfId="4" applyFont="1" applyFill="1" applyBorder="1" applyAlignment="1">
      <alignment horizontal="center" vertical="center"/>
    </xf>
    <xf numFmtId="44" fontId="68" fillId="32" borderId="25" xfId="4" applyFont="1" applyFill="1" applyBorder="1" applyAlignment="1">
      <alignment horizontal="center" vertical="center"/>
    </xf>
    <xf numFmtId="44" fontId="68" fillId="32" borderId="54" xfId="4" applyFont="1" applyFill="1" applyBorder="1" applyAlignment="1">
      <alignment horizontal="center" vertical="center"/>
    </xf>
    <xf numFmtId="8" fontId="0" fillId="0" borderId="80" xfId="0" applyNumberFormat="1" applyBorder="1" applyAlignment="1">
      <alignment horizontal="center"/>
    </xf>
    <xf numFmtId="8" fontId="0" fillId="0" borderId="102" xfId="0" applyNumberFormat="1" applyBorder="1" applyAlignment="1">
      <alignment horizontal="center"/>
    </xf>
    <xf numFmtId="0" fontId="27" fillId="0" borderId="2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165" fontId="34" fillId="4" borderId="25" xfId="0" applyNumberFormat="1" applyFont="1" applyFill="1" applyBorder="1" applyAlignment="1">
      <alignment horizontal="center" vertical="center"/>
    </xf>
    <xf numFmtId="165" fontId="34" fillId="4" borderId="26" xfId="0" applyNumberFormat="1" applyFont="1" applyFill="1" applyBorder="1" applyAlignment="1">
      <alignment horizontal="center" vertical="center"/>
    </xf>
    <xf numFmtId="165" fontId="34" fillId="4" borderId="54" xfId="0" applyNumberFormat="1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29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6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60" fillId="0" borderId="0" xfId="0" applyFont="1" applyFill="1" applyAlignment="1">
      <alignment horizontal="center" vertical="center"/>
    </xf>
    <xf numFmtId="16" fontId="30" fillId="0" borderId="0" xfId="0" applyNumberFormat="1" applyFont="1" applyFill="1" applyAlignment="1">
      <alignment horizontal="center" vertical="center"/>
    </xf>
    <xf numFmtId="165" fontId="69" fillId="10" borderId="21" xfId="0" applyNumberFormat="1" applyFont="1" applyFill="1" applyBorder="1" applyAlignment="1">
      <alignment vertical="center"/>
    </xf>
    <xf numFmtId="0" fontId="58" fillId="19" borderId="0" xfId="1" applyNumberFormat="1" applyFont="1" applyFill="1" applyAlignment="1">
      <alignment horizontal="center" vertical="center"/>
    </xf>
  </cellXfs>
  <cellStyles count="5">
    <cellStyle name="Bad" xfId="3" builtinId="27"/>
    <cellStyle name="Currency" xfId="4" builtinId="4"/>
    <cellStyle name="Good" xfId="1" builtinId="26"/>
    <cellStyle name="Normal" xfId="0" builtinId="0"/>
    <cellStyle name="Percent" xfId="2" builtinId="5"/>
  </cellStyles>
  <dxfs count="80"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numFmt numFmtId="0" formatCode="General"/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4E5E6"/>
          <bgColor rgb="FFE4E5E6"/>
        </patternFill>
      </fill>
    </dxf>
    <dxf>
      <fill>
        <patternFill patternType="solid">
          <fgColor rgb="FF005677"/>
          <bgColor rgb="FF005677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4E5E6"/>
          <bgColor rgb="FFE4E5E6"/>
        </patternFill>
      </fill>
    </dxf>
    <dxf>
      <fill>
        <patternFill patternType="solid">
          <fgColor rgb="FF005677"/>
          <bgColor rgb="FF005677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4E5E6"/>
          <bgColor rgb="FFE4E5E6"/>
        </patternFill>
      </fill>
    </dxf>
    <dxf>
      <fill>
        <patternFill patternType="solid">
          <fgColor rgb="FF005677"/>
          <bgColor rgb="FF005677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4E5E6"/>
          <bgColor rgb="FFE4E5E6"/>
        </patternFill>
      </fill>
    </dxf>
    <dxf>
      <fill>
        <patternFill patternType="solid">
          <fgColor rgb="FF005677"/>
          <bgColor rgb="FF005677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4E5E6"/>
          <bgColor rgb="FFE4E5E6"/>
        </patternFill>
      </fill>
    </dxf>
    <dxf>
      <fill>
        <patternFill patternType="solid">
          <fgColor rgb="FF005677"/>
          <bgColor rgb="FF005677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4E5E6"/>
          <bgColor rgb="FFE4E5E6"/>
        </patternFill>
      </fill>
    </dxf>
    <dxf>
      <fill>
        <patternFill patternType="solid">
          <fgColor rgb="FF005677"/>
          <bgColor rgb="FF005677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4E5E6"/>
          <bgColor rgb="FFE4E5E6"/>
        </patternFill>
      </fill>
    </dxf>
    <dxf>
      <fill>
        <patternFill patternType="solid">
          <fgColor rgb="FF005677"/>
          <bgColor rgb="FF005677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4E5E6"/>
          <bgColor rgb="FFE4E5E6"/>
        </patternFill>
      </fill>
    </dxf>
    <dxf>
      <fill>
        <patternFill patternType="solid">
          <fgColor rgb="FF005677"/>
          <bgColor rgb="FF005677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4E5E6"/>
          <bgColor rgb="FFE4E5E6"/>
        </patternFill>
      </fill>
    </dxf>
    <dxf>
      <fill>
        <patternFill patternType="solid">
          <fgColor rgb="FF005677"/>
          <bgColor rgb="FF005677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4E5E6"/>
          <bgColor rgb="FFE4E5E6"/>
        </patternFill>
      </fill>
    </dxf>
    <dxf>
      <fill>
        <patternFill patternType="solid">
          <fgColor rgb="FF005677"/>
          <bgColor rgb="FF005677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4E5E6"/>
          <bgColor rgb="FFE4E5E6"/>
        </patternFill>
      </fill>
    </dxf>
    <dxf>
      <fill>
        <patternFill patternType="solid">
          <fgColor rgb="FF005677"/>
          <bgColor rgb="FF005677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4E5E6"/>
          <bgColor rgb="FFE4E5E6"/>
        </patternFill>
      </fill>
    </dxf>
    <dxf>
      <fill>
        <patternFill patternType="solid">
          <fgColor rgb="FF005677"/>
          <bgColor rgb="FF005677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4E5E6"/>
          <bgColor rgb="FFE4E5E6"/>
        </patternFill>
      </fill>
    </dxf>
    <dxf>
      <fill>
        <patternFill patternType="solid">
          <fgColor rgb="FF005677"/>
          <bgColor rgb="FF005677"/>
        </patternFill>
      </fill>
    </dxf>
  </dxfs>
  <tableStyles count="13">
    <tableStyle name="Dec22-style" pivot="0" count="3" xr9:uid="{00000000-0011-0000-FFFF-FFFF00000000}">
      <tableStyleElement type="headerRow" dxfId="79"/>
      <tableStyleElement type="firstRowStripe" dxfId="78"/>
      <tableStyleElement type="secondRowStripe" dxfId="77"/>
    </tableStyle>
    <tableStyle name="Nov22-style" pivot="0" count="3" xr9:uid="{00000000-0011-0000-FFFF-FFFF01000000}">
      <tableStyleElement type="headerRow" dxfId="76"/>
      <tableStyleElement type="firstRowStripe" dxfId="75"/>
      <tableStyleElement type="secondRowStripe" dxfId="74"/>
    </tableStyle>
    <tableStyle name="Oct22-style" pivot="0" count="3" xr9:uid="{00000000-0011-0000-FFFF-FFFF02000000}">
      <tableStyleElement type="headerRow" dxfId="73"/>
      <tableStyleElement type="firstRowStripe" dxfId="72"/>
      <tableStyleElement type="secondRowStripe" dxfId="71"/>
    </tableStyle>
    <tableStyle name="Sept22-style" pivot="0" count="3" xr9:uid="{00000000-0011-0000-FFFF-FFFF03000000}">
      <tableStyleElement type="headerRow" dxfId="70"/>
      <tableStyleElement type="firstRowStripe" dxfId="69"/>
      <tableStyleElement type="secondRowStripe" dxfId="68"/>
    </tableStyle>
    <tableStyle name="Aug22-style" pivot="0" count="3" xr9:uid="{00000000-0011-0000-FFFF-FFFF04000000}">
      <tableStyleElement type="headerRow" dxfId="67"/>
      <tableStyleElement type="firstRowStripe" dxfId="66"/>
      <tableStyleElement type="secondRowStripe" dxfId="65"/>
    </tableStyle>
    <tableStyle name="Jul22-style" pivot="0" count="3" xr9:uid="{00000000-0011-0000-FFFF-FFFF05000000}">
      <tableStyleElement type="headerRow" dxfId="64"/>
      <tableStyleElement type="firstRowStripe" dxfId="63"/>
      <tableStyleElement type="secondRowStripe" dxfId="62"/>
    </tableStyle>
    <tableStyle name="Jun22-style" pivot="0" count="3" xr9:uid="{00000000-0011-0000-FFFF-FFFF06000000}">
      <tableStyleElement type="headerRow" dxfId="61"/>
      <tableStyleElement type="firstRowStripe" dxfId="60"/>
      <tableStyleElement type="secondRowStripe" dxfId="59"/>
    </tableStyle>
    <tableStyle name="May22-style" pivot="0" count="3" xr9:uid="{00000000-0011-0000-FFFF-FFFF07000000}">
      <tableStyleElement type="headerRow" dxfId="58"/>
      <tableStyleElement type="firstRowStripe" dxfId="57"/>
      <tableStyleElement type="secondRowStripe" dxfId="56"/>
    </tableStyle>
    <tableStyle name="April-22-style" pivot="0" count="3" xr9:uid="{00000000-0011-0000-FFFF-FFFF08000000}">
      <tableStyleElement type="headerRow" dxfId="55"/>
      <tableStyleElement type="firstRowStripe" dxfId="54"/>
      <tableStyleElement type="secondRowStripe" dxfId="53"/>
    </tableStyle>
    <tableStyle name="March-22-style" pivot="0" count="3" xr9:uid="{00000000-0011-0000-FFFF-FFFF09000000}">
      <tableStyleElement type="headerRow" dxfId="52"/>
      <tableStyleElement type="firstRowStripe" dxfId="51"/>
      <tableStyleElement type="secondRowStripe" dxfId="50"/>
    </tableStyle>
    <tableStyle name="February-22-style" pivot="0" count="3" xr9:uid="{00000000-0011-0000-FFFF-FFFF0A000000}">
      <tableStyleElement type="headerRow" dxfId="49"/>
      <tableStyleElement type="firstRowStripe" dxfId="48"/>
      <tableStyleElement type="secondRowStripe" dxfId="47"/>
    </tableStyle>
    <tableStyle name="January-22-style" pivot="0" count="3" xr9:uid="{00000000-0011-0000-FFFF-FFFF0B000000}">
      <tableStyleElement type="headerRow" dxfId="46"/>
      <tableStyleElement type="firstRowStripe" dxfId="45"/>
      <tableStyleElement type="secondRowStripe" dxfId="44"/>
    </tableStyle>
    <tableStyle name="Pay dates-style" pivot="0" count="3" xr9:uid="{00000000-0011-0000-FFFF-FFFF0C000000}">
      <tableStyleElement type="headerRow" dxfId="43"/>
      <tableStyleElement type="firstRowStripe" dxfId="42"/>
      <tableStyleElement type="secondRowStripe" dxfId="41"/>
    </tableStyle>
  </tableStyles>
  <colors>
    <mruColors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23" Type="http://schemas.microsoft.com/office/2017/10/relationships/person" Target="persons/person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90604</xdr:colOff>
      <xdr:row>60</xdr:row>
      <xdr:rowOff>82619</xdr:rowOff>
    </xdr:from>
    <xdr:to>
      <xdr:col>4</xdr:col>
      <xdr:colOff>90487</xdr:colOff>
      <xdr:row>62</xdr:row>
      <xdr:rowOff>11025</xdr:rowOff>
    </xdr:to>
    <xdr:sp macro="" textlink="#REF!">
      <xdr:nvSpPr>
        <xdr:cNvPr id="8" name="TextBox 7">
          <a:extLst>
            <a:ext uri="{FF2B5EF4-FFF2-40B4-BE49-F238E27FC236}">
              <a16:creationId xmlns:a16="http://schemas.microsoft.com/office/drawing/2014/main" id="{3D8E3343-2414-4C2A-B5CD-D44F5633DCC7}"/>
            </a:ext>
          </a:extLst>
        </xdr:cNvPr>
        <xdr:cNvSpPr txBox="1"/>
      </xdr:nvSpPr>
      <xdr:spPr>
        <a:xfrm>
          <a:off x="1767004" y="10245794"/>
          <a:ext cx="942858" cy="25225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559368D-0450-46C9-B6E3-3BADB378C4C4}" type="TxLink">
            <a:rPr lang="en-US" sz="1200" b="1" i="0" u="none" strike="noStrike">
              <a:solidFill>
                <a:srgbClr val="3F3F3F"/>
              </a:solidFill>
              <a:latin typeface="Arial"/>
              <a:cs typeface="Arial"/>
            </a:rPr>
            <a:pPr algn="ctr"/>
            <a:t> </a:t>
          </a:fld>
          <a:endParaRPr lang="en-GB" sz="24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abricio Rocha" id="{5F31D5E0-1F84-4C90-936D-F473734C92B1}" userId="S::fabrocha@publicisgroupe.net::07d6b139-b7e7-4499-91a5-e563894e5c9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3:D17" headerRowCount="0">
  <tableColumns count="3">
    <tableColumn id="1" xr3:uid="{00000000-0010-0000-0C00-000001000000}" name="Column1"/>
    <tableColumn id="2" xr3:uid="{00000000-0010-0000-0C00-000002000000}" name="Column2"/>
    <tableColumn id="3" xr3:uid="{00000000-0010-0000-0C00-000003000000}" name="Column3"/>
  </tableColumns>
  <tableStyleInfo name="Pay dat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35B374-AFA8-40DD-B978-966873532DC6}" name="Table_122345678910111223456789101113234578101191215234" displayName="Table_122345678910111223456789101113234578101191215234" ref="B11:D66" dataDxfId="3">
  <tableColumns count="3">
    <tableColumn id="1" xr3:uid="{2233254D-7825-458B-8BB8-714B37AE8FCA}" name="Monthly expenses" dataDxfId="2"/>
    <tableColumn id="2" xr3:uid="{8FC323F7-F138-432B-A869-E4D4D32AEEC5}" name="Cost" dataDxfId="1"/>
    <tableColumn id="5" xr3:uid="{0472A98A-A38D-458C-82A4-B9A443AE2D10}" name="D" dataDxfId="0"/>
  </tableColumns>
  <tableStyleInfo name="January-2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611598-D8DE-404F-B27C-3B57C429E4A6}" name="Table_12234567891011122345678910111323457810119121523" displayName="Table_12234567891011122345678910111323457810119121523" ref="B11:D66" dataDxfId="40">
  <tableColumns count="3">
    <tableColumn id="1" xr3:uid="{5498186D-C57E-4C82-826C-7A51C7BB0DD8}" name="Monthly expenses" dataDxfId="39"/>
    <tableColumn id="2" xr3:uid="{6BD631E2-8089-4246-938D-59C8EDCBD30F}" name="Cost" dataDxfId="38"/>
    <tableColumn id="5" xr3:uid="{B058EED8-1B4D-4E62-AF21-70550745159F}" name="D" dataDxfId="37"/>
  </tableColumns>
  <tableStyleInfo name="January-2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6B6927-81F8-46A7-944D-39B779D7D841}" name="Table_1223456789101112234567891011132345781011912152" displayName="Table_1223456789101112234567891011132345781011912152" ref="B11:D64" dataDxfId="36">
  <tableColumns count="3">
    <tableColumn id="1" xr3:uid="{F6FD9956-A86C-4B9A-9C97-B3830582EA47}" name="Monthly expenses" dataDxfId="35"/>
    <tableColumn id="2" xr3:uid="{D9A76E6C-BB4F-49FC-AD7B-74EB8CF02100}" name="Cost" dataDxfId="34"/>
    <tableColumn id="5" xr3:uid="{28F1B0BA-8F9B-4B90-8FD1-1CC2EA1E044A}" name="D" dataDxfId="33"/>
  </tableColumns>
  <tableStyleInfo name="January-22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DB120F-67C6-410B-8A12-3221BBA03AA5}" name="Table_1223456789101112234567891011132345696" displayName="Table_1223456789101112234567891011132345696" ref="B11:D40">
  <tableColumns count="3">
    <tableColumn id="1" xr3:uid="{1881B422-90D4-4A57-9432-8912D735063D}" name="Monthly expenses"/>
    <tableColumn id="2" xr3:uid="{21BF382A-FBEC-49CB-9815-C6E3B3AEF2D6}" name="Cost"/>
    <tableColumn id="3" xr3:uid="{D1F0BA4B-5E79-45F7-9821-5BC4E7A0C5E9}" name=" " dataDxfId="32"/>
  </tableColumns>
  <tableStyleInfo name="January-2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7AC143"/>
      </a:accent1>
      <a:accent2>
        <a:srgbClr val="00853E"/>
      </a:accent2>
      <a:accent3>
        <a:srgbClr val="00ADEE"/>
      </a:accent3>
      <a:accent4>
        <a:srgbClr val="FFC000"/>
      </a:accent4>
      <a:accent5>
        <a:srgbClr val="F47920"/>
      </a:accent5>
      <a:accent6>
        <a:srgbClr val="E51937"/>
      </a:accent6>
      <a:hlink>
        <a:srgbClr val="F47920"/>
      </a:hlink>
      <a:folHlink>
        <a:srgbClr val="F47920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4-12-30T23:14:43.87" personId="{5F31D5E0-1F84-4C90-936D-F473734C92B1}" id="{4274873F-A4BC-40F3-BB16-721CCA0F891C}">
    <text>Jan 2024: £2.400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5" dT="2024-12-30T23:14:43.87" personId="{5F31D5E0-1F84-4C90-936D-F473734C92B1}" id="{D69FEA1B-A00D-4F67-B456-02933C9FED95}">
    <text>Jan 2024: £2.400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5" dT="2024-12-30T23:14:43.87" personId="{5F31D5E0-1F84-4C90-936D-F473734C92B1}" id="{D98B294D-2397-4C34-B8E3-33890EF10D12}">
    <text>Jan 2024: £2.400</text>
  </threadedComment>
  <threadedComment ref="C8" dT="2026-01-31T11:38:06.91" personId="{5F31D5E0-1F84-4C90-936D-F473734C92B1}" id="{C9B93C9C-DBAF-4C07-B577-7FE9760DE3B3}">
    <text>420 from Feb moved to Jan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5" dT="2024-12-30T23:14:43.87" personId="{5F31D5E0-1F84-4C90-936D-F473734C92B1}" id="{C7625554-3C2F-45DE-826E-6768D76743BD}">
    <text>Jan 2024: £2.400</text>
  </threadedComment>
  <threadedComment ref="J5" dT="2024-12-30T23:14:43.87" personId="{5F31D5E0-1F84-4C90-936D-F473734C92B1}" id="{9A45AFB3-10A5-4ACF-A140-A00FC7E44C5C}">
    <text>Jan 2024: £2.400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W1000"/>
  <sheetViews>
    <sheetView workbookViewId="0"/>
  </sheetViews>
  <sheetFormatPr defaultColWidth="12.5703125" defaultRowHeight="15" customHeight="1" x14ac:dyDescent="0.2"/>
  <cols>
    <col min="1" max="1" width="3.28515625" customWidth="1"/>
    <col min="2" max="2" width="27.28515625" customWidth="1"/>
    <col min="3" max="3" width="12" customWidth="1"/>
    <col min="4" max="4" width="11.85546875" customWidth="1"/>
    <col min="5" max="23" width="9.140625" customWidth="1"/>
    <col min="24" max="26" width="14.42578125" customWidth="1"/>
  </cols>
  <sheetData>
    <row r="1" spans="1:23" ht="24.75" customHeight="1" x14ac:dyDescent="0.2">
      <c r="A1" s="18"/>
      <c r="B1" s="394" t="s">
        <v>42</v>
      </c>
      <c r="C1" s="395"/>
      <c r="D1" s="1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5.25" customHeight="1" x14ac:dyDescent="0.2">
      <c r="A2" s="18"/>
      <c r="B2" s="27"/>
      <c r="C2" s="27"/>
      <c r="D2" s="17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30.75" customHeight="1" x14ac:dyDescent="0.2">
      <c r="A3" s="18"/>
      <c r="B3" s="5" t="s">
        <v>43</v>
      </c>
      <c r="C3" s="6" t="s">
        <v>44</v>
      </c>
      <c r="D3" s="2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24.75" customHeight="1" x14ac:dyDescent="0.2">
      <c r="A4" s="18"/>
      <c r="B4" s="7" t="s">
        <v>45</v>
      </c>
      <c r="C4" s="8">
        <v>1</v>
      </c>
      <c r="D4" s="2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24.75" customHeight="1" x14ac:dyDescent="0.2">
      <c r="A5" s="18"/>
      <c r="B5" s="9" t="s">
        <v>46</v>
      </c>
      <c r="C5" s="10">
        <v>10</v>
      </c>
      <c r="D5" s="29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24.75" customHeight="1" x14ac:dyDescent="0.2">
      <c r="A6" s="18"/>
      <c r="B6" s="9" t="s">
        <v>47</v>
      </c>
      <c r="C6" s="10">
        <v>22</v>
      </c>
      <c r="D6" s="29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24.75" customHeight="1" x14ac:dyDescent="0.2">
      <c r="A7" s="18"/>
      <c r="B7" s="9" t="s">
        <v>48</v>
      </c>
      <c r="C7" s="10">
        <v>23</v>
      </c>
      <c r="D7" s="29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24.75" customHeight="1" x14ac:dyDescent="0.2">
      <c r="A8" s="18"/>
      <c r="B8" s="9" t="s">
        <v>49</v>
      </c>
      <c r="C8" s="10">
        <v>17</v>
      </c>
      <c r="D8" s="29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24.75" customHeight="1" x14ac:dyDescent="0.2">
      <c r="A9" s="18"/>
      <c r="B9" s="9" t="s">
        <v>50</v>
      </c>
      <c r="C9" s="10">
        <v>22</v>
      </c>
      <c r="D9" s="29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24.75" customHeight="1" x14ac:dyDescent="0.2">
      <c r="A10" s="18"/>
      <c r="B10" s="9" t="s">
        <v>51</v>
      </c>
      <c r="C10" s="10">
        <v>22</v>
      </c>
      <c r="D10" s="29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24.75" customHeight="1" x14ac:dyDescent="0.2">
      <c r="A11" s="18"/>
      <c r="B11" s="9" t="s">
        <v>52</v>
      </c>
      <c r="C11" s="10">
        <v>21</v>
      </c>
      <c r="D11" s="29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24.75" customHeight="1" x14ac:dyDescent="0.2">
      <c r="A12" s="18"/>
      <c r="B12" s="9" t="s">
        <v>53</v>
      </c>
      <c r="C12" s="10">
        <v>15</v>
      </c>
      <c r="D12" s="29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24.75" customHeight="1" x14ac:dyDescent="0.2">
      <c r="A13" s="18"/>
      <c r="B13" s="9" t="s">
        <v>54</v>
      </c>
      <c r="C13" s="10">
        <v>8</v>
      </c>
      <c r="D13" s="29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24.75" customHeight="1" x14ac:dyDescent="0.2">
      <c r="A14" s="18"/>
      <c r="B14" s="9" t="s">
        <v>55</v>
      </c>
      <c r="C14" s="10">
        <v>13</v>
      </c>
      <c r="D14" s="29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24.75" customHeight="1" x14ac:dyDescent="0.2">
      <c r="A15" s="18"/>
      <c r="B15" s="9" t="s">
        <v>56</v>
      </c>
      <c r="C15" s="10">
        <v>1</v>
      </c>
      <c r="D15" s="29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24.75" customHeight="1" x14ac:dyDescent="0.2">
      <c r="A16" s="18"/>
      <c r="B16" s="9" t="s">
        <v>57</v>
      </c>
      <c r="C16" s="10">
        <v>1</v>
      </c>
      <c r="D16" s="29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24.75" customHeight="1" x14ac:dyDescent="0.2">
      <c r="A17" s="18"/>
      <c r="B17" s="11" t="s">
        <v>58</v>
      </c>
      <c r="C17" s="12">
        <v>1</v>
      </c>
      <c r="D17" s="29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2.75" customHeight="1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spans="1:23" ht="12.75" customHeigh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spans="1:23" ht="12.7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spans="1:23" ht="12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spans="1:23" ht="12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spans="1:23" ht="12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spans="1:23" ht="12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spans="1:23" ht="12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spans="1:23" ht="12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spans="1:23" ht="12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spans="1:23" ht="12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spans="1:23" ht="12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spans="1:23" ht="12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spans="1:23" ht="12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spans="1:23" ht="12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spans="1:23" ht="12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spans="1:23" ht="12.75" customHeight="1" x14ac:dyDescent="0.2">
      <c r="A34" s="18"/>
      <c r="B34" s="30"/>
      <c r="C34" s="30"/>
      <c r="D34" s="1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2.75" customHeight="1" x14ac:dyDescent="0.2">
      <c r="A35" s="18"/>
      <c r="B35" s="30"/>
      <c r="C35" s="30"/>
      <c r="D35" s="1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2.75" customHeight="1" x14ac:dyDescent="0.2">
      <c r="A36" s="18"/>
      <c r="B36" s="30"/>
      <c r="C36" s="30"/>
      <c r="D36" s="1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2.75" customHeight="1" x14ac:dyDescent="0.2">
      <c r="A37" s="18"/>
      <c r="B37" s="30"/>
      <c r="C37" s="30"/>
      <c r="D37" s="1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2.75" customHeight="1" x14ac:dyDescent="0.2">
      <c r="A38" s="18"/>
      <c r="B38" s="30"/>
      <c r="C38" s="30"/>
      <c r="D38" s="1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2.75" customHeight="1" x14ac:dyDescent="0.2">
      <c r="A39" s="18"/>
      <c r="B39" s="30"/>
      <c r="C39" s="30"/>
      <c r="D39" s="1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2.75" customHeight="1" x14ac:dyDescent="0.2">
      <c r="A40" s="18"/>
      <c r="B40" s="30"/>
      <c r="C40" s="30"/>
      <c r="D40" s="1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2.75" customHeight="1" x14ac:dyDescent="0.2">
      <c r="A41" s="18"/>
      <c r="B41" s="30"/>
      <c r="C41" s="30"/>
      <c r="D41" s="1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2.75" customHeight="1" x14ac:dyDescent="0.2">
      <c r="A42" s="18"/>
      <c r="B42" s="30"/>
      <c r="C42" s="30"/>
      <c r="D42" s="1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2.75" customHeight="1" x14ac:dyDescent="0.2">
      <c r="A43" s="18"/>
      <c r="B43" s="30"/>
      <c r="C43" s="30"/>
      <c r="D43" s="1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2.75" customHeight="1" x14ac:dyDescent="0.2">
      <c r="A44" s="18"/>
      <c r="B44" s="30"/>
      <c r="C44" s="30"/>
      <c r="D44" s="1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2.75" customHeight="1" x14ac:dyDescent="0.2">
      <c r="A45" s="18"/>
      <c r="B45" s="30"/>
      <c r="C45" s="30"/>
      <c r="D45" s="1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2.75" customHeight="1" x14ac:dyDescent="0.2">
      <c r="A46" s="18"/>
      <c r="B46" s="30"/>
      <c r="C46" s="30"/>
      <c r="D46" s="1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2.75" customHeight="1" x14ac:dyDescent="0.2">
      <c r="A47" s="18"/>
      <c r="B47" s="30"/>
      <c r="C47" s="30"/>
      <c r="D47" s="1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2.75" customHeight="1" x14ac:dyDescent="0.2">
      <c r="A48" s="18"/>
      <c r="B48" s="30"/>
      <c r="C48" s="30"/>
      <c r="D48" s="1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2.75" customHeight="1" x14ac:dyDescent="0.2">
      <c r="A49" s="18"/>
      <c r="B49" s="30"/>
      <c r="C49" s="30"/>
      <c r="D49" s="1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2.75" customHeight="1" x14ac:dyDescent="0.2">
      <c r="A50" s="18"/>
      <c r="B50" s="30"/>
      <c r="C50" s="30"/>
      <c r="D50" s="1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2.75" customHeight="1" x14ac:dyDescent="0.2">
      <c r="A51" s="18"/>
      <c r="B51" s="30"/>
      <c r="C51" s="30"/>
      <c r="D51" s="1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2.75" customHeight="1" x14ac:dyDescent="0.2">
      <c r="A52" s="18"/>
      <c r="B52" s="30"/>
      <c r="C52" s="30"/>
      <c r="D52" s="1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2.75" customHeight="1" x14ac:dyDescent="0.2">
      <c r="A53" s="18"/>
      <c r="B53" s="30"/>
      <c r="C53" s="30"/>
      <c r="D53" s="1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2.75" customHeight="1" x14ac:dyDescent="0.2">
      <c r="A54" s="18"/>
      <c r="B54" s="30"/>
      <c r="C54" s="30"/>
      <c r="D54" s="1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2.75" customHeight="1" x14ac:dyDescent="0.2">
      <c r="A55" s="18"/>
      <c r="B55" s="30"/>
      <c r="C55" s="30"/>
      <c r="D55" s="1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2.75" customHeight="1" x14ac:dyDescent="0.2">
      <c r="A56" s="18"/>
      <c r="B56" s="30"/>
      <c r="C56" s="30"/>
      <c r="D56" s="1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2.75" customHeight="1" x14ac:dyDescent="0.2">
      <c r="A57" s="18"/>
      <c r="B57" s="30"/>
      <c r="C57" s="30"/>
      <c r="D57" s="1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2.75" customHeight="1" x14ac:dyDescent="0.2">
      <c r="A58" s="18"/>
      <c r="B58" s="30"/>
      <c r="C58" s="30"/>
      <c r="D58" s="1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2.75" customHeight="1" x14ac:dyDescent="0.2">
      <c r="A59" s="18"/>
      <c r="B59" s="30"/>
      <c r="C59" s="30"/>
      <c r="D59" s="1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2.75" customHeight="1" x14ac:dyDescent="0.2">
      <c r="A60" s="18"/>
      <c r="B60" s="30"/>
      <c r="C60" s="30"/>
      <c r="D60" s="1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2.75" customHeight="1" x14ac:dyDescent="0.2">
      <c r="A61" s="18"/>
      <c r="B61" s="30"/>
      <c r="C61" s="30"/>
      <c r="D61" s="1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2.75" customHeight="1" x14ac:dyDescent="0.2">
      <c r="A62" s="18"/>
      <c r="B62" s="30"/>
      <c r="C62" s="30"/>
      <c r="D62" s="1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2.75" customHeight="1" x14ac:dyDescent="0.2">
      <c r="A63" s="18"/>
      <c r="B63" s="30"/>
      <c r="C63" s="30"/>
      <c r="D63" s="1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2.75" customHeight="1" x14ac:dyDescent="0.2">
      <c r="A64" s="18"/>
      <c r="B64" s="30"/>
      <c r="C64" s="30"/>
      <c r="D64" s="1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2.75" customHeight="1" x14ac:dyDescent="0.2">
      <c r="A65" s="18"/>
      <c r="B65" s="30"/>
      <c r="C65" s="30"/>
      <c r="D65" s="1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2.75" customHeight="1" x14ac:dyDescent="0.2">
      <c r="A66" s="18"/>
      <c r="B66" s="30"/>
      <c r="C66" s="30"/>
      <c r="D66" s="1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2.75" customHeight="1" x14ac:dyDescent="0.2">
      <c r="A67" s="18"/>
      <c r="B67" s="30"/>
      <c r="C67" s="30"/>
      <c r="D67" s="1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2.75" customHeight="1" x14ac:dyDescent="0.2">
      <c r="A68" s="18"/>
      <c r="B68" s="30"/>
      <c r="C68" s="30"/>
      <c r="D68" s="1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2.75" customHeight="1" x14ac:dyDescent="0.2">
      <c r="A69" s="18"/>
      <c r="B69" s="30"/>
      <c r="C69" s="30"/>
      <c r="D69" s="1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2.75" customHeight="1" x14ac:dyDescent="0.2">
      <c r="A70" s="18"/>
      <c r="B70" s="30"/>
      <c r="C70" s="30"/>
      <c r="D70" s="1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2.75" customHeight="1" x14ac:dyDescent="0.2">
      <c r="A71" s="18"/>
      <c r="B71" s="30"/>
      <c r="C71" s="30"/>
      <c r="D71" s="1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2.75" customHeight="1" x14ac:dyDescent="0.2">
      <c r="A72" s="18"/>
      <c r="B72" s="30"/>
      <c r="C72" s="30"/>
      <c r="D72" s="1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2.75" customHeight="1" x14ac:dyDescent="0.2">
      <c r="A73" s="18"/>
      <c r="B73" s="30"/>
      <c r="C73" s="30"/>
      <c r="D73" s="1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2.75" customHeight="1" x14ac:dyDescent="0.2">
      <c r="A74" s="18"/>
      <c r="B74" s="30"/>
      <c r="C74" s="30"/>
      <c r="D74" s="1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2.75" customHeight="1" x14ac:dyDescent="0.2">
      <c r="A75" s="18"/>
      <c r="B75" s="30"/>
      <c r="C75" s="30"/>
      <c r="D75" s="1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2.75" customHeight="1" x14ac:dyDescent="0.2">
      <c r="A76" s="18"/>
      <c r="B76" s="30"/>
      <c r="C76" s="30"/>
      <c r="D76" s="1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2.75" customHeight="1" x14ac:dyDescent="0.2">
      <c r="A77" s="18"/>
      <c r="B77" s="30"/>
      <c r="C77" s="30"/>
      <c r="D77" s="1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2.75" customHeight="1" x14ac:dyDescent="0.2">
      <c r="A78" s="18"/>
      <c r="B78" s="30"/>
      <c r="C78" s="30"/>
      <c r="D78" s="1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2.75" customHeight="1" x14ac:dyDescent="0.2">
      <c r="A79" s="18"/>
      <c r="B79" s="30"/>
      <c r="C79" s="30"/>
      <c r="D79" s="1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2.75" customHeight="1" x14ac:dyDescent="0.2">
      <c r="A80" s="18"/>
      <c r="B80" s="30"/>
      <c r="C80" s="30"/>
      <c r="D80" s="1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2.75" customHeight="1" x14ac:dyDescent="0.2">
      <c r="A81" s="18"/>
      <c r="B81" s="30"/>
      <c r="C81" s="30"/>
      <c r="D81" s="1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2.75" customHeight="1" x14ac:dyDescent="0.2">
      <c r="A82" s="18"/>
      <c r="B82" s="30"/>
      <c r="C82" s="30"/>
      <c r="D82" s="1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2.75" customHeight="1" x14ac:dyDescent="0.2">
      <c r="A83" s="18"/>
      <c r="B83" s="30"/>
      <c r="C83" s="30"/>
      <c r="D83" s="1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2.75" customHeight="1" x14ac:dyDescent="0.2">
      <c r="A84" s="18"/>
      <c r="B84" s="30"/>
      <c r="C84" s="30"/>
      <c r="D84" s="1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2.75" customHeight="1" x14ac:dyDescent="0.2">
      <c r="A85" s="18"/>
      <c r="B85" s="30"/>
      <c r="C85" s="30"/>
      <c r="D85" s="1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2.75" customHeight="1" x14ac:dyDescent="0.2">
      <c r="A86" s="18"/>
      <c r="B86" s="30"/>
      <c r="C86" s="30"/>
      <c r="D86" s="1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2.75" customHeight="1" x14ac:dyDescent="0.2">
      <c r="A87" s="18"/>
      <c r="B87" s="30"/>
      <c r="C87" s="30"/>
      <c r="D87" s="1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2.75" customHeight="1" x14ac:dyDescent="0.2">
      <c r="A88" s="18"/>
      <c r="B88" s="30"/>
      <c r="C88" s="30"/>
      <c r="D88" s="1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2.75" customHeight="1" x14ac:dyDescent="0.2">
      <c r="A89" s="18"/>
      <c r="B89" s="30"/>
      <c r="C89" s="30"/>
      <c r="D89" s="1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2.75" customHeight="1" x14ac:dyDescent="0.2">
      <c r="A90" s="18"/>
      <c r="B90" s="30"/>
      <c r="C90" s="30"/>
      <c r="D90" s="1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2.75" customHeight="1" x14ac:dyDescent="0.2">
      <c r="A91" s="18"/>
      <c r="B91" s="30"/>
      <c r="C91" s="30"/>
      <c r="D91" s="1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2.75" customHeight="1" x14ac:dyDescent="0.2">
      <c r="A92" s="18"/>
      <c r="B92" s="30"/>
      <c r="C92" s="30"/>
      <c r="D92" s="1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2.75" customHeight="1" x14ac:dyDescent="0.2">
      <c r="A93" s="18"/>
      <c r="B93" s="30"/>
      <c r="C93" s="30"/>
      <c r="D93" s="1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2.75" customHeight="1" x14ac:dyDescent="0.2">
      <c r="A94" s="18"/>
      <c r="B94" s="30"/>
      <c r="C94" s="30"/>
      <c r="D94" s="1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2.75" customHeight="1" x14ac:dyDescent="0.2">
      <c r="A95" s="18"/>
      <c r="B95" s="30"/>
      <c r="C95" s="30"/>
      <c r="D95" s="1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2.75" customHeight="1" x14ac:dyDescent="0.2">
      <c r="A96" s="18"/>
      <c r="B96" s="30"/>
      <c r="C96" s="30"/>
      <c r="D96" s="1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2.75" customHeight="1" x14ac:dyDescent="0.2">
      <c r="A97" s="18"/>
      <c r="B97" s="30"/>
      <c r="C97" s="30"/>
      <c r="D97" s="1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2.75" customHeight="1" x14ac:dyDescent="0.2">
      <c r="A98" s="18"/>
      <c r="B98" s="30"/>
      <c r="C98" s="30"/>
      <c r="D98" s="1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2.75" customHeight="1" x14ac:dyDescent="0.2">
      <c r="A99" s="18"/>
      <c r="B99" s="30"/>
      <c r="C99" s="30"/>
      <c r="D99" s="1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2.75" customHeight="1" x14ac:dyDescent="0.2">
      <c r="A100" s="18"/>
      <c r="B100" s="30"/>
      <c r="C100" s="30"/>
      <c r="D100" s="1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2.75" customHeight="1" x14ac:dyDescent="0.2">
      <c r="A101" s="18"/>
      <c r="B101" s="30"/>
      <c r="C101" s="30"/>
      <c r="D101" s="1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2.75" customHeight="1" x14ac:dyDescent="0.2">
      <c r="A102" s="18"/>
      <c r="B102" s="30"/>
      <c r="C102" s="30"/>
      <c r="D102" s="1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2.75" customHeight="1" x14ac:dyDescent="0.2">
      <c r="A103" s="18"/>
      <c r="B103" s="30"/>
      <c r="C103" s="30"/>
      <c r="D103" s="1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2.75" customHeight="1" x14ac:dyDescent="0.2">
      <c r="A104" s="18"/>
      <c r="B104" s="30"/>
      <c r="C104" s="30"/>
      <c r="D104" s="1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2.75" customHeight="1" x14ac:dyDescent="0.2">
      <c r="A105" s="18"/>
      <c r="B105" s="30"/>
      <c r="C105" s="30"/>
      <c r="D105" s="1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2.75" customHeight="1" x14ac:dyDescent="0.2">
      <c r="A106" s="18"/>
      <c r="B106" s="30"/>
      <c r="C106" s="30"/>
      <c r="D106" s="1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2.75" customHeight="1" x14ac:dyDescent="0.2">
      <c r="A107" s="18"/>
      <c r="B107" s="30"/>
      <c r="C107" s="30"/>
      <c r="D107" s="1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2.75" customHeight="1" x14ac:dyDescent="0.2">
      <c r="A108" s="18"/>
      <c r="B108" s="30"/>
      <c r="C108" s="30"/>
      <c r="D108" s="1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2.75" customHeight="1" x14ac:dyDescent="0.2">
      <c r="A109" s="18"/>
      <c r="B109" s="30"/>
      <c r="C109" s="30"/>
      <c r="D109" s="1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2.75" customHeight="1" x14ac:dyDescent="0.2">
      <c r="A110" s="18"/>
      <c r="B110" s="30"/>
      <c r="C110" s="30"/>
      <c r="D110" s="1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2.75" customHeight="1" x14ac:dyDescent="0.2">
      <c r="A111" s="18"/>
      <c r="B111" s="30"/>
      <c r="C111" s="30"/>
      <c r="D111" s="1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2.75" customHeight="1" x14ac:dyDescent="0.2">
      <c r="A112" s="18"/>
      <c r="B112" s="30"/>
      <c r="C112" s="30"/>
      <c r="D112" s="1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2.75" customHeight="1" x14ac:dyDescent="0.2">
      <c r="A113" s="18"/>
      <c r="B113" s="30"/>
      <c r="C113" s="30"/>
      <c r="D113" s="1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2.75" customHeight="1" x14ac:dyDescent="0.2">
      <c r="A114" s="18"/>
      <c r="B114" s="30"/>
      <c r="C114" s="30"/>
      <c r="D114" s="1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2.75" customHeight="1" x14ac:dyDescent="0.2">
      <c r="A115" s="18"/>
      <c r="B115" s="30"/>
      <c r="C115" s="30"/>
      <c r="D115" s="1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2.75" customHeight="1" x14ac:dyDescent="0.2">
      <c r="A116" s="18"/>
      <c r="B116" s="30"/>
      <c r="C116" s="30"/>
      <c r="D116" s="1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2.75" customHeight="1" x14ac:dyDescent="0.2">
      <c r="A117" s="18"/>
      <c r="B117" s="30"/>
      <c r="C117" s="30"/>
      <c r="D117" s="1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2.75" customHeight="1" x14ac:dyDescent="0.2">
      <c r="A118" s="18"/>
      <c r="B118" s="30"/>
      <c r="C118" s="30"/>
      <c r="D118" s="1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2.75" customHeight="1" x14ac:dyDescent="0.2">
      <c r="A119" s="18"/>
      <c r="B119" s="30"/>
      <c r="C119" s="30"/>
      <c r="D119" s="1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2.75" customHeight="1" x14ac:dyDescent="0.2">
      <c r="A120" s="18"/>
      <c r="B120" s="30"/>
      <c r="C120" s="30"/>
      <c r="D120" s="1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2.75" customHeight="1" x14ac:dyDescent="0.2">
      <c r="A121" s="18"/>
      <c r="B121" s="30"/>
      <c r="C121" s="30"/>
      <c r="D121" s="1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2.75" customHeight="1" x14ac:dyDescent="0.2">
      <c r="A122" s="18"/>
      <c r="B122" s="30"/>
      <c r="C122" s="30"/>
      <c r="D122" s="1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2.75" customHeight="1" x14ac:dyDescent="0.2">
      <c r="A123" s="18"/>
      <c r="B123" s="30"/>
      <c r="C123" s="30"/>
      <c r="D123" s="1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2.75" customHeight="1" x14ac:dyDescent="0.2">
      <c r="A124" s="18"/>
      <c r="B124" s="30"/>
      <c r="C124" s="30"/>
      <c r="D124" s="1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2.75" customHeight="1" x14ac:dyDescent="0.2">
      <c r="A125" s="18"/>
      <c r="B125" s="30"/>
      <c r="C125" s="30"/>
      <c r="D125" s="1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2.75" customHeight="1" x14ac:dyDescent="0.2">
      <c r="A126" s="18"/>
      <c r="B126" s="30"/>
      <c r="C126" s="30"/>
      <c r="D126" s="1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2.75" customHeight="1" x14ac:dyDescent="0.2">
      <c r="A127" s="18"/>
      <c r="B127" s="30"/>
      <c r="C127" s="30"/>
      <c r="D127" s="1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2.75" customHeight="1" x14ac:dyDescent="0.2">
      <c r="A128" s="18"/>
      <c r="B128" s="30"/>
      <c r="C128" s="30"/>
      <c r="D128" s="1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2.75" customHeight="1" x14ac:dyDescent="0.2">
      <c r="A129" s="18"/>
      <c r="B129" s="30"/>
      <c r="C129" s="30"/>
      <c r="D129" s="1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2.75" customHeight="1" x14ac:dyDescent="0.2">
      <c r="A130" s="18"/>
      <c r="B130" s="30"/>
      <c r="C130" s="30"/>
      <c r="D130" s="1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2.75" customHeight="1" x14ac:dyDescent="0.2">
      <c r="A131" s="18"/>
      <c r="B131" s="30"/>
      <c r="C131" s="30"/>
      <c r="D131" s="1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2.75" customHeight="1" x14ac:dyDescent="0.2">
      <c r="A132" s="18"/>
      <c r="B132" s="30"/>
      <c r="C132" s="30"/>
      <c r="D132" s="1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2.75" customHeight="1" x14ac:dyDescent="0.2">
      <c r="A133" s="18"/>
      <c r="B133" s="30"/>
      <c r="C133" s="30"/>
      <c r="D133" s="1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2.75" customHeight="1" x14ac:dyDescent="0.2">
      <c r="A134" s="18"/>
      <c r="B134" s="30"/>
      <c r="C134" s="30"/>
      <c r="D134" s="1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2.75" customHeight="1" x14ac:dyDescent="0.2">
      <c r="A135" s="18"/>
      <c r="B135" s="30"/>
      <c r="C135" s="30"/>
      <c r="D135" s="1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2.75" customHeight="1" x14ac:dyDescent="0.2">
      <c r="A136" s="18"/>
      <c r="B136" s="30"/>
      <c r="C136" s="30"/>
      <c r="D136" s="1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2.75" customHeight="1" x14ac:dyDescent="0.2">
      <c r="A137" s="18"/>
      <c r="B137" s="30"/>
      <c r="C137" s="30"/>
      <c r="D137" s="1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2.75" customHeight="1" x14ac:dyDescent="0.2">
      <c r="A138" s="18"/>
      <c r="B138" s="30"/>
      <c r="C138" s="30"/>
      <c r="D138" s="1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2.75" customHeight="1" x14ac:dyDescent="0.2">
      <c r="A139" s="18"/>
      <c r="B139" s="30"/>
      <c r="C139" s="30"/>
      <c r="D139" s="1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2.75" customHeight="1" x14ac:dyDescent="0.2">
      <c r="A140" s="18"/>
      <c r="B140" s="30"/>
      <c r="C140" s="30"/>
      <c r="D140" s="1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2.75" customHeight="1" x14ac:dyDescent="0.2">
      <c r="A141" s="18"/>
      <c r="B141" s="30"/>
      <c r="C141" s="30"/>
      <c r="D141" s="1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2.75" customHeight="1" x14ac:dyDescent="0.2">
      <c r="A142" s="18"/>
      <c r="B142" s="30"/>
      <c r="C142" s="30"/>
      <c r="D142" s="1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2.75" customHeight="1" x14ac:dyDescent="0.2">
      <c r="A143" s="18"/>
      <c r="B143" s="30"/>
      <c r="C143" s="30"/>
      <c r="D143" s="1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2.75" customHeight="1" x14ac:dyDescent="0.2">
      <c r="A144" s="18"/>
      <c r="B144" s="30"/>
      <c r="C144" s="30"/>
      <c r="D144" s="1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2.75" customHeight="1" x14ac:dyDescent="0.2">
      <c r="A145" s="18"/>
      <c r="B145" s="30"/>
      <c r="C145" s="30"/>
      <c r="D145" s="1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2.75" customHeight="1" x14ac:dyDescent="0.2">
      <c r="A146" s="18"/>
      <c r="B146" s="30"/>
      <c r="C146" s="30"/>
      <c r="D146" s="1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2.75" customHeight="1" x14ac:dyDescent="0.2">
      <c r="A147" s="18"/>
      <c r="B147" s="30"/>
      <c r="C147" s="30"/>
      <c r="D147" s="1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2.75" customHeight="1" x14ac:dyDescent="0.2">
      <c r="A148" s="18"/>
      <c r="B148" s="30"/>
      <c r="C148" s="30"/>
      <c r="D148" s="1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2.75" customHeight="1" x14ac:dyDescent="0.2">
      <c r="A149" s="18"/>
      <c r="B149" s="30"/>
      <c r="C149" s="30"/>
      <c r="D149" s="1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2.75" customHeight="1" x14ac:dyDescent="0.2">
      <c r="A150" s="18"/>
      <c r="B150" s="30"/>
      <c r="C150" s="30"/>
      <c r="D150" s="1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2.75" customHeight="1" x14ac:dyDescent="0.2">
      <c r="A151" s="18"/>
      <c r="B151" s="30"/>
      <c r="C151" s="30"/>
      <c r="D151" s="1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2.75" customHeight="1" x14ac:dyDescent="0.2">
      <c r="A152" s="18"/>
      <c r="B152" s="30"/>
      <c r="C152" s="30"/>
      <c r="D152" s="1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2.75" customHeight="1" x14ac:dyDescent="0.2">
      <c r="A153" s="18"/>
      <c r="B153" s="30"/>
      <c r="C153" s="30"/>
      <c r="D153" s="1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2.75" customHeight="1" x14ac:dyDescent="0.2">
      <c r="A154" s="18"/>
      <c r="B154" s="30"/>
      <c r="C154" s="30"/>
      <c r="D154" s="1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2.75" customHeight="1" x14ac:dyDescent="0.2">
      <c r="A155" s="18"/>
      <c r="B155" s="30"/>
      <c r="C155" s="30"/>
      <c r="D155" s="1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2.75" customHeight="1" x14ac:dyDescent="0.2">
      <c r="A156" s="18"/>
      <c r="B156" s="30"/>
      <c r="C156" s="30"/>
      <c r="D156" s="1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2.75" customHeight="1" x14ac:dyDescent="0.2">
      <c r="A157" s="18"/>
      <c r="B157" s="30"/>
      <c r="C157" s="30"/>
      <c r="D157" s="1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2.75" customHeight="1" x14ac:dyDescent="0.2">
      <c r="A158" s="18"/>
      <c r="B158" s="30"/>
      <c r="C158" s="30"/>
      <c r="D158" s="1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2.75" customHeight="1" x14ac:dyDescent="0.2">
      <c r="A159" s="18"/>
      <c r="B159" s="30"/>
      <c r="C159" s="30"/>
      <c r="D159" s="1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2.75" customHeight="1" x14ac:dyDescent="0.2">
      <c r="A160" s="18"/>
      <c r="B160" s="30"/>
      <c r="C160" s="30"/>
      <c r="D160" s="1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2.75" customHeight="1" x14ac:dyDescent="0.2">
      <c r="A161" s="18"/>
      <c r="B161" s="30"/>
      <c r="C161" s="30"/>
      <c r="D161" s="1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2.75" customHeight="1" x14ac:dyDescent="0.2">
      <c r="A162" s="18"/>
      <c r="B162" s="30"/>
      <c r="C162" s="30"/>
      <c r="D162" s="1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2.75" customHeight="1" x14ac:dyDescent="0.2">
      <c r="A163" s="18"/>
      <c r="B163" s="30"/>
      <c r="C163" s="30"/>
      <c r="D163" s="1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2.75" customHeight="1" x14ac:dyDescent="0.2">
      <c r="A164" s="18"/>
      <c r="B164" s="30"/>
      <c r="C164" s="30"/>
      <c r="D164" s="1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2.75" customHeight="1" x14ac:dyDescent="0.2">
      <c r="A165" s="18"/>
      <c r="B165" s="30"/>
      <c r="C165" s="30"/>
      <c r="D165" s="1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2.75" customHeight="1" x14ac:dyDescent="0.2">
      <c r="A166" s="18"/>
      <c r="B166" s="30"/>
      <c r="C166" s="30"/>
      <c r="D166" s="1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2.75" customHeight="1" x14ac:dyDescent="0.2">
      <c r="A167" s="18"/>
      <c r="B167" s="30"/>
      <c r="C167" s="30"/>
      <c r="D167" s="1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2.75" customHeight="1" x14ac:dyDescent="0.2">
      <c r="A168" s="18"/>
      <c r="B168" s="30"/>
      <c r="C168" s="30"/>
      <c r="D168" s="1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2.75" customHeight="1" x14ac:dyDescent="0.2">
      <c r="A169" s="18"/>
      <c r="B169" s="30"/>
      <c r="C169" s="30"/>
      <c r="D169" s="1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2.75" customHeight="1" x14ac:dyDescent="0.2">
      <c r="A170" s="18"/>
      <c r="B170" s="30"/>
      <c r="C170" s="30"/>
      <c r="D170" s="1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2.75" customHeight="1" x14ac:dyDescent="0.2">
      <c r="A171" s="18"/>
      <c r="B171" s="30"/>
      <c r="C171" s="30"/>
      <c r="D171" s="1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2.75" customHeight="1" x14ac:dyDescent="0.2">
      <c r="A172" s="18"/>
      <c r="B172" s="30"/>
      <c r="C172" s="30"/>
      <c r="D172" s="1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2.75" customHeight="1" x14ac:dyDescent="0.2">
      <c r="A173" s="18"/>
      <c r="B173" s="30"/>
      <c r="C173" s="30"/>
      <c r="D173" s="1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2.75" customHeight="1" x14ac:dyDescent="0.2">
      <c r="A174" s="18"/>
      <c r="B174" s="30"/>
      <c r="C174" s="30"/>
      <c r="D174" s="1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2.75" customHeight="1" x14ac:dyDescent="0.2">
      <c r="A175" s="18"/>
      <c r="B175" s="30"/>
      <c r="C175" s="30"/>
      <c r="D175" s="1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2.75" customHeight="1" x14ac:dyDescent="0.2">
      <c r="A176" s="18"/>
      <c r="B176" s="30"/>
      <c r="C176" s="30"/>
      <c r="D176" s="1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2.75" customHeight="1" x14ac:dyDescent="0.2">
      <c r="A177" s="18"/>
      <c r="B177" s="30"/>
      <c r="C177" s="30"/>
      <c r="D177" s="1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2.75" customHeight="1" x14ac:dyDescent="0.2">
      <c r="A178" s="18"/>
      <c r="B178" s="30"/>
      <c r="C178" s="30"/>
      <c r="D178" s="1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2.75" customHeight="1" x14ac:dyDescent="0.2">
      <c r="A179" s="18"/>
      <c r="B179" s="30"/>
      <c r="C179" s="30"/>
      <c r="D179" s="1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2.75" customHeight="1" x14ac:dyDescent="0.2">
      <c r="A180" s="18"/>
      <c r="B180" s="30"/>
      <c r="C180" s="30"/>
      <c r="D180" s="1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2.75" customHeight="1" x14ac:dyDescent="0.2">
      <c r="A181" s="18"/>
      <c r="B181" s="30"/>
      <c r="C181" s="30"/>
      <c r="D181" s="1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2.75" customHeight="1" x14ac:dyDescent="0.2">
      <c r="A182" s="18"/>
      <c r="B182" s="30"/>
      <c r="C182" s="30"/>
      <c r="D182" s="1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2.75" customHeight="1" x14ac:dyDescent="0.2">
      <c r="A183" s="18"/>
      <c r="B183" s="30"/>
      <c r="C183" s="30"/>
      <c r="D183" s="1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2.75" customHeight="1" x14ac:dyDescent="0.2">
      <c r="A184" s="18"/>
      <c r="B184" s="30"/>
      <c r="C184" s="30"/>
      <c r="D184" s="1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2.75" customHeight="1" x14ac:dyDescent="0.2">
      <c r="A185" s="18"/>
      <c r="B185" s="30"/>
      <c r="C185" s="30"/>
      <c r="D185" s="1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2.75" customHeight="1" x14ac:dyDescent="0.2">
      <c r="A186" s="18"/>
      <c r="B186" s="30"/>
      <c r="C186" s="30"/>
      <c r="D186" s="1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2.75" customHeight="1" x14ac:dyDescent="0.2">
      <c r="A187" s="18"/>
      <c r="B187" s="30"/>
      <c r="C187" s="30"/>
      <c r="D187" s="1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2.75" customHeight="1" x14ac:dyDescent="0.2">
      <c r="A188" s="18"/>
      <c r="B188" s="30"/>
      <c r="C188" s="30"/>
      <c r="D188" s="1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2.75" customHeight="1" x14ac:dyDescent="0.2">
      <c r="A189" s="18"/>
      <c r="B189" s="30"/>
      <c r="C189" s="30"/>
      <c r="D189" s="1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2.75" customHeight="1" x14ac:dyDescent="0.2">
      <c r="A190" s="18"/>
      <c r="B190" s="30"/>
      <c r="C190" s="30"/>
      <c r="D190" s="1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2.75" customHeight="1" x14ac:dyDescent="0.2">
      <c r="A191" s="18"/>
      <c r="B191" s="30"/>
      <c r="C191" s="30"/>
      <c r="D191" s="1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2.75" customHeight="1" x14ac:dyDescent="0.2">
      <c r="A192" s="18"/>
      <c r="B192" s="30"/>
      <c r="C192" s="30"/>
      <c r="D192" s="1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2.75" customHeight="1" x14ac:dyDescent="0.2">
      <c r="A193" s="18"/>
      <c r="B193" s="30"/>
      <c r="C193" s="30"/>
      <c r="D193" s="1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2.75" customHeight="1" x14ac:dyDescent="0.2">
      <c r="A194" s="18"/>
      <c r="B194" s="30"/>
      <c r="C194" s="30"/>
      <c r="D194" s="1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2.75" customHeight="1" x14ac:dyDescent="0.2">
      <c r="A195" s="18"/>
      <c r="B195" s="30"/>
      <c r="C195" s="30"/>
      <c r="D195" s="1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2.75" customHeight="1" x14ac:dyDescent="0.2">
      <c r="A196" s="18"/>
      <c r="B196" s="30"/>
      <c r="C196" s="30"/>
      <c r="D196" s="1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2.75" customHeight="1" x14ac:dyDescent="0.2">
      <c r="A197" s="18"/>
      <c r="B197" s="30"/>
      <c r="C197" s="30"/>
      <c r="D197" s="1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2.75" customHeight="1" x14ac:dyDescent="0.2">
      <c r="A198" s="18"/>
      <c r="B198" s="30"/>
      <c r="C198" s="30"/>
      <c r="D198" s="1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2.75" customHeight="1" x14ac:dyDescent="0.2">
      <c r="A199" s="18"/>
      <c r="B199" s="30"/>
      <c r="C199" s="30"/>
      <c r="D199" s="1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2.75" customHeight="1" x14ac:dyDescent="0.2">
      <c r="A200" s="18"/>
      <c r="B200" s="30"/>
      <c r="C200" s="30"/>
      <c r="D200" s="1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2.75" customHeight="1" x14ac:dyDescent="0.2">
      <c r="A201" s="18"/>
      <c r="B201" s="30"/>
      <c r="C201" s="30"/>
      <c r="D201" s="1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2.75" customHeight="1" x14ac:dyDescent="0.2">
      <c r="A202" s="18"/>
      <c r="B202" s="30"/>
      <c r="C202" s="30"/>
      <c r="D202" s="1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2.75" customHeight="1" x14ac:dyDescent="0.2">
      <c r="A203" s="18"/>
      <c r="B203" s="30"/>
      <c r="C203" s="30"/>
      <c r="D203" s="1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2.75" customHeight="1" x14ac:dyDescent="0.2">
      <c r="A204" s="18"/>
      <c r="B204" s="30"/>
      <c r="C204" s="30"/>
      <c r="D204" s="1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2.75" customHeight="1" x14ac:dyDescent="0.2">
      <c r="A205" s="18"/>
      <c r="B205" s="30"/>
      <c r="C205" s="30"/>
      <c r="D205" s="1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2.75" customHeight="1" x14ac:dyDescent="0.2">
      <c r="A206" s="18"/>
      <c r="B206" s="30"/>
      <c r="C206" s="30"/>
      <c r="D206" s="1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2.75" customHeight="1" x14ac:dyDescent="0.2">
      <c r="A207" s="18"/>
      <c r="B207" s="30"/>
      <c r="C207" s="30"/>
      <c r="D207" s="1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2.75" customHeight="1" x14ac:dyDescent="0.2">
      <c r="A208" s="18"/>
      <c r="B208" s="30"/>
      <c r="C208" s="30"/>
      <c r="D208" s="1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2.75" customHeight="1" x14ac:dyDescent="0.2">
      <c r="A209" s="18"/>
      <c r="B209" s="30"/>
      <c r="C209" s="30"/>
      <c r="D209" s="1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2.75" customHeight="1" x14ac:dyDescent="0.2">
      <c r="A210" s="18"/>
      <c r="B210" s="30"/>
      <c r="C210" s="30"/>
      <c r="D210" s="1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2.75" customHeight="1" x14ac:dyDescent="0.2">
      <c r="A211" s="18"/>
      <c r="B211" s="30"/>
      <c r="C211" s="30"/>
      <c r="D211" s="1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2.75" customHeight="1" x14ac:dyDescent="0.2">
      <c r="A212" s="18"/>
      <c r="B212" s="30"/>
      <c r="C212" s="30"/>
      <c r="D212" s="1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2.75" customHeight="1" x14ac:dyDescent="0.2">
      <c r="A213" s="18"/>
      <c r="B213" s="30"/>
      <c r="C213" s="30"/>
      <c r="D213" s="1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2.75" customHeight="1" x14ac:dyDescent="0.2">
      <c r="A214" s="18"/>
      <c r="B214" s="30"/>
      <c r="C214" s="30"/>
      <c r="D214" s="1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2.75" customHeight="1" x14ac:dyDescent="0.2">
      <c r="A215" s="18"/>
      <c r="B215" s="30"/>
      <c r="C215" s="30"/>
      <c r="D215" s="1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2.75" customHeight="1" x14ac:dyDescent="0.2">
      <c r="A216" s="18"/>
      <c r="B216" s="30"/>
      <c r="C216" s="30"/>
      <c r="D216" s="1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2.75" customHeight="1" x14ac:dyDescent="0.2">
      <c r="A217" s="18"/>
      <c r="B217" s="30"/>
      <c r="C217" s="30"/>
      <c r="D217" s="1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2.75" customHeight="1" x14ac:dyDescent="0.2">
      <c r="A218" s="18"/>
      <c r="B218" s="4"/>
      <c r="C218" s="4"/>
      <c r="D218" s="1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2.75" customHeight="1" x14ac:dyDescent="0.2">
      <c r="A219" s="18"/>
      <c r="B219" s="4"/>
      <c r="C219" s="4"/>
      <c r="D219" s="1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2.75" customHeight="1" x14ac:dyDescent="0.2">
      <c r="A220" s="18"/>
      <c r="B220" s="4"/>
      <c r="C220" s="4"/>
      <c r="D220" s="1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5.75" customHeight="1" x14ac:dyDescent="0.2"/>
    <row r="222" spans="1:23" ht="15.75" customHeight="1" x14ac:dyDescent="0.2"/>
    <row r="223" spans="1:23" ht="15.75" customHeight="1" x14ac:dyDescent="0.2"/>
    <row r="224" spans="1:2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C1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AC1002"/>
  <sheetViews>
    <sheetView zoomScaleNormal="100" workbookViewId="0">
      <selection activeCell="G33" sqref="G33"/>
    </sheetView>
  </sheetViews>
  <sheetFormatPr defaultColWidth="12.5703125" defaultRowHeight="15" customHeight="1" x14ac:dyDescent="0.2"/>
  <cols>
    <col min="1" max="1" width="2.42578125" style="234" customWidth="1"/>
    <col min="2" max="2" width="8.5703125" style="83" customWidth="1"/>
    <col min="3" max="4" width="14.140625" style="83" bestFit="1" customWidth="1"/>
    <col min="5" max="5" width="13.28515625" style="83" customWidth="1"/>
    <col min="6" max="6" width="12.7109375" style="83" customWidth="1"/>
    <col min="7" max="7" width="14.140625" style="83" customWidth="1"/>
    <col min="8" max="8" width="2.42578125" style="234" customWidth="1"/>
    <col min="9" max="9" width="24.7109375" style="83" bestFit="1" customWidth="1"/>
    <col min="10" max="10" width="13.28515625" style="83" customWidth="1"/>
    <col min="11" max="11" width="2.42578125" style="234" customWidth="1"/>
    <col min="12" max="12" width="11.7109375" style="83" customWidth="1"/>
    <col min="13" max="13" width="11.7109375" style="81" customWidth="1"/>
    <col min="14" max="14" width="11.7109375" style="83" customWidth="1"/>
    <col min="15" max="15" width="11.7109375" style="92" customWidth="1"/>
    <col min="16" max="16" width="2.42578125" style="234" customWidth="1"/>
    <col min="17" max="17" width="6.5703125" style="81" bestFit="1" customWidth="1"/>
    <col min="18" max="18" width="8.140625" style="81" bestFit="1" customWidth="1"/>
    <col min="19" max="19" width="14.140625" style="81" bestFit="1" customWidth="1"/>
    <col min="20" max="20" width="9" style="81" customWidth="1"/>
    <col min="21" max="22" width="10.5703125" style="81" customWidth="1"/>
    <col min="23" max="23" width="12.7109375" style="81" customWidth="1"/>
    <col min="24" max="24" width="20.42578125" style="81" customWidth="1"/>
    <col min="25" max="25" width="29.140625" style="81" bestFit="1" customWidth="1"/>
    <col min="26" max="29" width="12.5703125" style="81"/>
    <col min="30" max="16384" width="12.5703125" style="83"/>
  </cols>
  <sheetData>
    <row r="1" spans="1:26" s="234" customFormat="1" ht="8.25" customHeight="1" thickBot="1" x14ac:dyDescent="0.25">
      <c r="O1" s="238"/>
    </row>
    <row r="2" spans="1:26" s="234" customFormat="1" ht="20.25" customHeight="1" thickBot="1" x14ac:dyDescent="0.25">
      <c r="B2" s="396" t="s">
        <v>124</v>
      </c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8"/>
    </row>
    <row r="3" spans="1:26" s="234" customFormat="1" ht="7.5" customHeight="1" thickBot="1" x14ac:dyDescent="0.25">
      <c r="B3" s="235"/>
      <c r="C3" s="235"/>
      <c r="D3" s="235"/>
      <c r="E3" s="235"/>
      <c r="F3" s="237"/>
      <c r="G3" s="237"/>
      <c r="H3" s="236"/>
      <c r="I3" s="237"/>
      <c r="J3" s="237"/>
      <c r="K3" s="237"/>
      <c r="L3" s="237"/>
      <c r="M3" s="236"/>
      <c r="N3" s="236"/>
      <c r="O3" s="236"/>
      <c r="P3" s="236"/>
    </row>
    <row r="4" spans="1:26" ht="22.5" customHeight="1" thickBot="1" x14ac:dyDescent="0.25">
      <c r="A4" s="235"/>
      <c r="B4" s="399" t="s">
        <v>0</v>
      </c>
      <c r="C4" s="400"/>
      <c r="D4" s="400"/>
      <c r="E4" s="400"/>
      <c r="F4" s="400"/>
      <c r="G4" s="401"/>
      <c r="H4" s="235"/>
      <c r="I4" s="405" t="s">
        <v>2</v>
      </c>
      <c r="J4" s="406"/>
      <c r="L4" s="402" t="s">
        <v>1</v>
      </c>
      <c r="M4" s="403"/>
      <c r="N4" s="403"/>
      <c r="O4" s="404"/>
      <c r="P4" s="239"/>
      <c r="Q4" s="332" t="s">
        <v>4</v>
      </c>
      <c r="R4" s="329" t="s">
        <v>1</v>
      </c>
      <c r="S4" s="330" t="s">
        <v>8</v>
      </c>
      <c r="T4" s="331" t="s">
        <v>140</v>
      </c>
      <c r="U4" s="234"/>
      <c r="V4" s="234"/>
      <c r="W4" s="240"/>
      <c r="X4" s="240"/>
      <c r="Y4" s="45"/>
      <c r="Z4" s="45"/>
    </row>
    <row r="5" spans="1:26" ht="15" customHeight="1" thickBot="1" x14ac:dyDescent="0.25">
      <c r="A5" s="235"/>
      <c r="B5" s="130" t="s">
        <v>4</v>
      </c>
      <c r="C5" s="106" t="s">
        <v>5</v>
      </c>
      <c r="D5" s="365" t="s">
        <v>6</v>
      </c>
      <c r="E5" s="370" t="s">
        <v>7</v>
      </c>
      <c r="F5" s="105" t="s">
        <v>1</v>
      </c>
      <c r="G5" s="107" t="s">
        <v>8</v>
      </c>
      <c r="I5" s="217" t="s">
        <v>12</v>
      </c>
      <c r="J5" s="218">
        <f>'Jan-26'!C12+'Feb-26'!C12</f>
        <v>1416.1</v>
      </c>
      <c r="L5" s="161" t="s">
        <v>9</v>
      </c>
      <c r="M5" s="162" t="s">
        <v>10</v>
      </c>
      <c r="N5" s="162" t="s">
        <v>11</v>
      </c>
      <c r="O5" s="163" t="s">
        <v>90</v>
      </c>
      <c r="P5" s="235"/>
      <c r="Q5" s="136" t="s">
        <v>14</v>
      </c>
      <c r="R5" s="122">
        <f>(F6/C6)*1</f>
        <v>0.7695246434500872</v>
      </c>
      <c r="S5" s="123">
        <f>(G6/C6)*1</f>
        <v>1.0106563437137386E-2</v>
      </c>
      <c r="T5" s="140">
        <f>SUM(R5:S5)</f>
        <v>0.77963120688722454</v>
      </c>
      <c r="U5" s="234"/>
      <c r="V5" s="234"/>
      <c r="W5" s="240"/>
      <c r="X5" s="240"/>
      <c r="Y5" s="45"/>
      <c r="Z5" s="45"/>
    </row>
    <row r="6" spans="1:26" ht="15" customHeight="1" x14ac:dyDescent="0.2">
      <c r="A6" s="235"/>
      <c r="B6" s="131" t="s">
        <v>14</v>
      </c>
      <c r="C6" s="103">
        <f>'Jan-26'!C9</f>
        <v>23845.89</v>
      </c>
      <c r="D6" s="366">
        <f>'Jan-26'!F5+'Jan-26'!F6+'Jan-26'!F7</f>
        <v>23845.89000000001</v>
      </c>
      <c r="E6" s="371">
        <f>((C6-D6))+'Jan-26'!$J$18+'Jan-26'!$J$19</f>
        <v>18590.999999999989</v>
      </c>
      <c r="F6" s="102">
        <f>'Jan-26'!$J$18</f>
        <v>18350</v>
      </c>
      <c r="G6" s="104">
        <f>'Jan-26'!$J$19</f>
        <v>241</v>
      </c>
      <c r="I6" s="219" t="s">
        <v>138</v>
      </c>
      <c r="J6" s="220">
        <f>'Jan-26'!C13+'Feb-26'!C13</f>
        <v>30.2</v>
      </c>
      <c r="L6" s="158">
        <f>'Jan-26'!$J$5</f>
        <v>14593.73</v>
      </c>
      <c r="M6" s="159">
        <f>'Jan-26'!$J$6</f>
        <v>10023.959999999999</v>
      </c>
      <c r="N6" s="159">
        <f>'Jan-26'!$J$7</f>
        <v>4868.99</v>
      </c>
      <c r="O6" s="160">
        <f>'Jan-26'!$J$8</f>
        <v>0</v>
      </c>
      <c r="P6" s="235"/>
      <c r="Q6" s="137" t="s">
        <v>16</v>
      </c>
      <c r="R6" s="120"/>
      <c r="S6" s="121"/>
      <c r="T6" s="141"/>
      <c r="U6" s="234"/>
      <c r="V6" s="234"/>
      <c r="W6" s="240"/>
      <c r="X6" s="240"/>
      <c r="Y6" s="45"/>
      <c r="Z6" s="45"/>
    </row>
    <row r="7" spans="1:26" ht="15" customHeight="1" x14ac:dyDescent="0.2">
      <c r="A7" s="235"/>
      <c r="B7" s="132" t="s">
        <v>16</v>
      </c>
      <c r="C7" s="128">
        <f>'Feb-26'!C9</f>
        <v>5623.07</v>
      </c>
      <c r="D7" s="367">
        <f>'Feb-26'!F5+'Feb-26'!F6+'Feb-26'!F7</f>
        <v>5623.0699999999988</v>
      </c>
      <c r="E7" s="372">
        <f>((C7-D7))+'Feb-26'!$J$18+'Feb-26'!$J$19</f>
        <v>291.00000000000091</v>
      </c>
      <c r="F7" s="84">
        <f>'Feb-26'!$J$18</f>
        <v>50</v>
      </c>
      <c r="G7" s="85">
        <f>'Feb-26'!$J$19</f>
        <v>241</v>
      </c>
      <c r="I7" s="219" t="s">
        <v>139</v>
      </c>
      <c r="J7" s="220">
        <f>'Jan-26'!C14+'Feb-26'!C14</f>
        <v>34.119999999999997</v>
      </c>
      <c r="L7" s="151">
        <f>'Feb-26'!$J$5</f>
        <v>32577.82</v>
      </c>
      <c r="M7" s="147">
        <f>'Feb-26'!$J$6</f>
        <v>10046.66</v>
      </c>
      <c r="N7" s="147">
        <f>'Feb-26'!$J$7</f>
        <v>5018.53</v>
      </c>
      <c r="O7" s="152">
        <f>'Jan-26'!$J$8</f>
        <v>0</v>
      </c>
      <c r="P7" s="235"/>
      <c r="Q7" s="138" t="s">
        <v>19</v>
      </c>
      <c r="R7" s="72"/>
      <c r="S7" s="101"/>
      <c r="T7" s="142"/>
      <c r="U7" s="234"/>
      <c r="V7" s="234"/>
      <c r="W7" s="240"/>
      <c r="X7" s="240"/>
      <c r="Y7" s="45"/>
      <c r="Z7" s="45"/>
    </row>
    <row r="8" spans="1:26" ht="15" customHeight="1" x14ac:dyDescent="0.2">
      <c r="A8" s="235"/>
      <c r="B8" s="131" t="s">
        <v>19</v>
      </c>
      <c r="C8" s="103"/>
      <c r="D8" s="366"/>
      <c r="E8" s="371"/>
      <c r="F8" s="102"/>
      <c r="G8" s="104"/>
      <c r="I8" s="219" t="s">
        <v>136</v>
      </c>
      <c r="J8" s="220">
        <f>'Jan-26'!C15+'Feb-26'!C15</f>
        <v>230.66</v>
      </c>
      <c r="L8" s="149"/>
      <c r="M8" s="146"/>
      <c r="N8" s="146"/>
      <c r="O8" s="150"/>
      <c r="P8" s="235"/>
      <c r="Q8" s="137" t="s">
        <v>21</v>
      </c>
      <c r="R8" s="120"/>
      <c r="S8" s="121"/>
      <c r="T8" s="207"/>
      <c r="U8" s="234"/>
      <c r="V8" s="234"/>
      <c r="W8" s="240"/>
      <c r="X8" s="240"/>
      <c r="Y8" s="45"/>
      <c r="Z8" s="45"/>
    </row>
    <row r="9" spans="1:26" ht="15" customHeight="1" x14ac:dyDescent="0.2">
      <c r="A9" s="235"/>
      <c r="B9" s="132" t="s">
        <v>21</v>
      </c>
      <c r="C9" s="128"/>
      <c r="D9" s="368"/>
      <c r="E9" s="372"/>
      <c r="F9" s="84"/>
      <c r="G9" s="85"/>
      <c r="I9" s="219" t="s">
        <v>135</v>
      </c>
      <c r="J9" s="220">
        <f>'Jan-26'!C16+'Feb-26'!C16</f>
        <v>168</v>
      </c>
      <c r="L9" s="151"/>
      <c r="M9" s="147"/>
      <c r="N9" s="147"/>
      <c r="O9" s="152"/>
      <c r="P9" s="235"/>
      <c r="Q9" s="138" t="s">
        <v>23</v>
      </c>
      <c r="R9" s="72"/>
      <c r="S9" s="101"/>
      <c r="T9" s="142"/>
      <c r="U9" s="234"/>
      <c r="V9" s="234"/>
      <c r="W9" s="240"/>
      <c r="X9" s="240"/>
      <c r="Y9" s="45"/>
      <c r="Z9" s="45"/>
    </row>
    <row r="10" spans="1:26" ht="15" customHeight="1" x14ac:dyDescent="0.2">
      <c r="A10" s="235"/>
      <c r="B10" s="131" t="s">
        <v>23</v>
      </c>
      <c r="C10" s="103"/>
      <c r="D10" s="366"/>
      <c r="E10" s="371"/>
      <c r="F10" s="102"/>
      <c r="G10" s="104"/>
      <c r="I10" s="219" t="s">
        <v>31</v>
      </c>
      <c r="J10" s="220">
        <f>'Jan-26'!C17+'Feb-26'!C17</f>
        <v>43.88</v>
      </c>
      <c r="L10" s="149"/>
      <c r="M10" s="146"/>
      <c r="N10" s="146"/>
      <c r="O10" s="150"/>
      <c r="P10" s="235"/>
      <c r="Q10" s="137" t="s">
        <v>26</v>
      </c>
      <c r="R10" s="120"/>
      <c r="S10" s="121"/>
      <c r="T10" s="141"/>
      <c r="U10" s="234"/>
      <c r="V10" s="234"/>
      <c r="W10" s="240"/>
      <c r="X10" s="240"/>
      <c r="Y10" s="45"/>
      <c r="Z10" s="45"/>
    </row>
    <row r="11" spans="1:26" ht="15" customHeight="1" x14ac:dyDescent="0.2">
      <c r="A11" s="235"/>
      <c r="B11" s="132" t="s">
        <v>26</v>
      </c>
      <c r="C11" s="128"/>
      <c r="D11" s="368"/>
      <c r="E11" s="372"/>
      <c r="F11" s="84"/>
      <c r="G11" s="85"/>
      <c r="I11" s="219" t="s">
        <v>137</v>
      </c>
      <c r="J11" s="220">
        <f>'Jan-26'!C18+'Feb-26'!C18</f>
        <v>132</v>
      </c>
      <c r="L11" s="151"/>
      <c r="M11" s="147"/>
      <c r="N11" s="147"/>
      <c r="O11" s="152"/>
      <c r="P11" s="235"/>
      <c r="Q11" s="138" t="s">
        <v>27</v>
      </c>
      <c r="R11" s="72"/>
      <c r="S11" s="101"/>
      <c r="T11" s="142"/>
      <c r="U11" s="234"/>
      <c r="V11" s="234"/>
      <c r="W11" s="240"/>
      <c r="X11" s="240"/>
      <c r="Y11" s="45"/>
      <c r="Z11" s="45"/>
    </row>
    <row r="12" spans="1:26" ht="15" customHeight="1" thickBot="1" x14ac:dyDescent="0.25">
      <c r="A12" s="235"/>
      <c r="B12" s="131" t="s">
        <v>27</v>
      </c>
      <c r="C12" s="103"/>
      <c r="D12" s="366"/>
      <c r="E12" s="371"/>
      <c r="F12" s="102"/>
      <c r="G12" s="104"/>
      <c r="I12" s="321" t="s">
        <v>33</v>
      </c>
      <c r="J12" s="322">
        <f>'Jan-26'!C19+'Feb-26'!C19</f>
        <v>89.96</v>
      </c>
      <c r="L12" s="149"/>
      <c r="M12" s="146"/>
      <c r="N12" s="146"/>
      <c r="O12" s="150"/>
      <c r="P12" s="235"/>
      <c r="Q12" s="137" t="s">
        <v>30</v>
      </c>
      <c r="R12" s="120"/>
      <c r="S12" s="121"/>
      <c r="T12" s="141"/>
      <c r="U12" s="234"/>
      <c r="V12" s="234"/>
      <c r="W12" s="234"/>
      <c r="X12" s="234"/>
    </row>
    <row r="13" spans="1:26" ht="15" customHeight="1" x14ac:dyDescent="0.2">
      <c r="A13" s="235"/>
      <c r="B13" s="132" t="s">
        <v>30</v>
      </c>
      <c r="C13" s="128"/>
      <c r="D13" s="368"/>
      <c r="E13" s="372"/>
      <c r="F13" s="84"/>
      <c r="G13" s="85"/>
      <c r="I13" s="352"/>
      <c r="J13" s="353"/>
      <c r="L13" s="153"/>
      <c r="M13" s="148"/>
      <c r="N13" s="148"/>
      <c r="O13" s="154"/>
      <c r="P13" s="235"/>
      <c r="Q13" s="138" t="s">
        <v>32</v>
      </c>
      <c r="R13" s="72"/>
      <c r="S13" s="101"/>
      <c r="T13" s="206"/>
      <c r="U13" s="234"/>
      <c r="V13" s="234"/>
      <c r="W13" s="245"/>
      <c r="X13" s="234"/>
    </row>
    <row r="14" spans="1:26" ht="15" customHeight="1" x14ac:dyDescent="0.2">
      <c r="A14" s="235"/>
      <c r="B14" s="131" t="s">
        <v>32</v>
      </c>
      <c r="C14" s="103"/>
      <c r="D14" s="366"/>
      <c r="E14" s="371"/>
      <c r="F14" s="102"/>
      <c r="G14" s="104"/>
      <c r="I14" s="354"/>
      <c r="J14" s="355"/>
      <c r="L14" s="149"/>
      <c r="M14" s="146"/>
      <c r="N14" s="146"/>
      <c r="O14" s="150"/>
      <c r="P14" s="235"/>
      <c r="Q14" s="137" t="s">
        <v>35</v>
      </c>
      <c r="R14" s="120"/>
      <c r="S14" s="121"/>
      <c r="T14" s="141"/>
      <c r="U14" s="234"/>
      <c r="V14" s="234"/>
      <c r="W14" s="234"/>
      <c r="X14" s="234"/>
    </row>
    <row r="15" spans="1:26" ht="15" customHeight="1" x14ac:dyDescent="0.2">
      <c r="A15" s="235"/>
      <c r="B15" s="132" t="s">
        <v>35</v>
      </c>
      <c r="C15" s="128"/>
      <c r="D15" s="368"/>
      <c r="E15" s="372"/>
      <c r="F15" s="84"/>
      <c r="G15" s="85"/>
      <c r="I15" s="354"/>
      <c r="J15" s="355"/>
      <c r="L15" s="153"/>
      <c r="M15" s="148"/>
      <c r="N15" s="148"/>
      <c r="O15" s="154"/>
      <c r="P15" s="235"/>
      <c r="Q15" s="138" t="s">
        <v>36</v>
      </c>
      <c r="R15" s="72"/>
      <c r="S15" s="101"/>
      <c r="T15" s="142"/>
      <c r="U15" s="234"/>
      <c r="V15" s="234"/>
      <c r="W15" s="234"/>
      <c r="X15" s="234"/>
    </row>
    <row r="16" spans="1:26" ht="15" customHeight="1" thickBot="1" x14ac:dyDescent="0.25">
      <c r="A16" s="235"/>
      <c r="B16" s="131" t="s">
        <v>36</v>
      </c>
      <c r="C16" s="103"/>
      <c r="D16" s="366"/>
      <c r="E16" s="371"/>
      <c r="F16" s="102"/>
      <c r="G16" s="104"/>
      <c r="I16" s="354"/>
      <c r="J16" s="355"/>
      <c r="L16" s="149"/>
      <c r="M16" s="146"/>
      <c r="N16" s="146"/>
      <c r="O16" s="150"/>
      <c r="P16" s="235"/>
      <c r="Q16" s="139" t="s">
        <v>37</v>
      </c>
      <c r="R16" s="124"/>
      <c r="S16" s="125"/>
      <c r="T16" s="143"/>
      <c r="U16" s="234"/>
      <c r="V16" s="234"/>
      <c r="W16" s="234"/>
      <c r="X16" s="234"/>
    </row>
    <row r="17" spans="1:26" ht="15" customHeight="1" thickBot="1" x14ac:dyDescent="0.25">
      <c r="A17" s="235"/>
      <c r="B17" s="133" t="s">
        <v>37</v>
      </c>
      <c r="C17" s="129"/>
      <c r="D17" s="369"/>
      <c r="E17" s="373"/>
      <c r="F17" s="88"/>
      <c r="G17" s="89"/>
      <c r="I17" s="356"/>
      <c r="J17" s="357"/>
      <c r="L17" s="155"/>
      <c r="M17" s="156"/>
      <c r="N17" s="156"/>
      <c r="O17" s="157"/>
      <c r="P17" s="235"/>
      <c r="Q17" s="240"/>
      <c r="R17" s="240"/>
      <c r="S17" s="240"/>
      <c r="T17" s="240"/>
      <c r="U17" s="234"/>
      <c r="V17" s="234"/>
      <c r="W17" s="234"/>
      <c r="X17" s="234"/>
    </row>
    <row r="18" spans="1:26" s="234" customFormat="1" ht="7.5" customHeight="1" thickBot="1" x14ac:dyDescent="0.25">
      <c r="B18" s="235"/>
      <c r="C18" s="235"/>
      <c r="D18" s="235"/>
      <c r="I18" s="240"/>
      <c r="J18" s="240"/>
      <c r="L18" s="244"/>
      <c r="M18" s="244"/>
      <c r="N18" s="244"/>
      <c r="O18" s="244"/>
      <c r="P18" s="235"/>
      <c r="Q18" s="240"/>
      <c r="R18" s="240"/>
      <c r="S18" s="240"/>
      <c r="T18" s="240"/>
    </row>
    <row r="19" spans="1:26" ht="15" customHeight="1" thickBot="1" x14ac:dyDescent="0.25">
      <c r="B19" s="127" t="s">
        <v>34</v>
      </c>
      <c r="C19" s="126">
        <f>SUM(C6:C17)</f>
        <v>29468.959999999999</v>
      </c>
      <c r="D19" s="90">
        <f>SUM(D6:D17)</f>
        <v>29468.96000000001</v>
      </c>
      <c r="E19" s="90">
        <f>SUM(E6:E17)</f>
        <v>18881.999999999989</v>
      </c>
      <c r="F19" s="90">
        <f>SUM(F6:F17)</f>
        <v>18400</v>
      </c>
      <c r="G19" s="91">
        <f>SUM(G6:G17)</f>
        <v>482</v>
      </c>
      <c r="I19" s="233" t="s">
        <v>123</v>
      </c>
      <c r="J19" s="87">
        <f>SUM(J5:J17)</f>
        <v>2144.92</v>
      </c>
      <c r="L19" s="407" t="s">
        <v>125</v>
      </c>
      <c r="M19" s="408"/>
      <c r="N19" s="409">
        <f>SUM(L7:O7)</f>
        <v>47643.009999999995</v>
      </c>
      <c r="O19" s="410"/>
      <c r="P19" s="235"/>
      <c r="Q19" s="240"/>
      <c r="R19" s="240"/>
      <c r="S19" s="240"/>
      <c r="T19" s="240"/>
      <c r="U19" s="234"/>
      <c r="V19" s="234"/>
      <c r="W19" s="234"/>
      <c r="X19" s="234"/>
      <c r="Y19" s="234"/>
      <c r="Z19" s="234"/>
    </row>
    <row r="20" spans="1:26" s="234" customFormat="1" ht="7.5" customHeight="1" thickBot="1" x14ac:dyDescent="0.25">
      <c r="I20" s="240"/>
      <c r="J20" s="240"/>
      <c r="P20" s="235"/>
      <c r="Q20" s="240"/>
      <c r="R20" s="240"/>
      <c r="S20" s="240"/>
    </row>
    <row r="21" spans="1:26" ht="15.75" thickBot="1" x14ac:dyDescent="0.25">
      <c r="B21" s="234"/>
      <c r="C21" s="413" t="s">
        <v>38</v>
      </c>
      <c r="D21" s="414"/>
      <c r="E21" s="241" t="s">
        <v>39</v>
      </c>
      <c r="F21" s="247" t="s">
        <v>40</v>
      </c>
      <c r="G21" s="234"/>
      <c r="I21" s="417" t="s">
        <v>3</v>
      </c>
      <c r="J21" s="418"/>
      <c r="L21" s="407" t="s">
        <v>91</v>
      </c>
      <c r="M21" s="408"/>
      <c r="N21" s="415">
        <f>'Jan-26'!M9+'Feb-26'!M9</f>
        <v>181.70999999999998</v>
      </c>
      <c r="O21" s="416"/>
      <c r="P21" s="235"/>
      <c r="Q21" s="240"/>
      <c r="R21" s="240"/>
      <c r="S21" s="240"/>
      <c r="T21" s="234"/>
      <c r="U21" s="234"/>
      <c r="V21" s="234"/>
      <c r="W21" s="234"/>
      <c r="X21" s="234"/>
    </row>
    <row r="22" spans="1:26" thickBot="1" x14ac:dyDescent="0.25">
      <c r="B22" s="242" t="s">
        <v>79</v>
      </c>
      <c r="C22" s="227" t="s">
        <v>1</v>
      </c>
      <c r="D22" s="230">
        <v>15000</v>
      </c>
      <c r="E22" s="221">
        <f>F19-16850</f>
        <v>1550</v>
      </c>
      <c r="F22" s="224">
        <f>E22/D22*1</f>
        <v>0.10333333333333333</v>
      </c>
      <c r="G22" s="234"/>
      <c r="I22" s="93" t="s">
        <v>13</v>
      </c>
      <c r="J22" s="94">
        <f>'Jan-26'!J12+'Feb-26'!J12</f>
        <v>947</v>
      </c>
      <c r="L22" s="407" t="s">
        <v>169</v>
      </c>
      <c r="M22" s="408"/>
      <c r="N22" s="415">
        <f>N21/2</f>
        <v>90.85499999999999</v>
      </c>
      <c r="O22" s="416"/>
      <c r="P22" s="235"/>
      <c r="Q22" s="234"/>
      <c r="R22" s="234"/>
      <c r="S22" s="234"/>
      <c r="T22" s="234"/>
      <c r="U22" s="234"/>
      <c r="V22" s="234"/>
      <c r="W22" s="234"/>
      <c r="X22" s="234"/>
    </row>
    <row r="23" spans="1:26" thickBot="1" x14ac:dyDescent="0.25">
      <c r="B23" s="234"/>
      <c r="C23" s="228" t="s">
        <v>8</v>
      </c>
      <c r="D23" s="231">
        <f>708.05*4</f>
        <v>2832.2</v>
      </c>
      <c r="E23" s="222">
        <f>G19</f>
        <v>482</v>
      </c>
      <c r="F23" s="225">
        <f t="shared" ref="F23:F24" si="0">E23/D23*1</f>
        <v>0.17018572134736248</v>
      </c>
      <c r="G23" s="234"/>
      <c r="I23" s="95" t="s">
        <v>15</v>
      </c>
      <c r="J23" s="96">
        <f>'Jan-26'!J13+'Feb-26'!J13</f>
        <v>502.86999999999995</v>
      </c>
      <c r="L23" s="234"/>
      <c r="M23" s="234"/>
      <c r="N23" s="234"/>
      <c r="O23" s="238"/>
      <c r="Q23" s="234"/>
      <c r="R23" s="234"/>
      <c r="S23" s="234"/>
      <c r="T23" s="234"/>
      <c r="U23" s="234"/>
      <c r="V23" s="234"/>
      <c r="W23" s="234"/>
      <c r="X23" s="234"/>
    </row>
    <row r="24" spans="1:26" thickBot="1" x14ac:dyDescent="0.25">
      <c r="B24" s="234"/>
      <c r="C24" s="229" t="s">
        <v>41</v>
      </c>
      <c r="D24" s="232">
        <v>1100</v>
      </c>
      <c r="E24" s="223">
        <f>N21</f>
        <v>181.70999999999998</v>
      </c>
      <c r="F24" s="226">
        <f t="shared" si="0"/>
        <v>0.16519090909090908</v>
      </c>
      <c r="G24" s="234"/>
      <c r="I24" s="95" t="s">
        <v>18</v>
      </c>
      <c r="J24" s="96">
        <f>'Jan-26'!J14+'Feb-26'!J14</f>
        <v>4888.6099999999988</v>
      </c>
      <c r="L24" s="240"/>
      <c r="M24" s="411" t="s">
        <v>68</v>
      </c>
      <c r="N24" s="412"/>
      <c r="O24" s="240"/>
      <c r="Q24" s="234"/>
      <c r="R24" s="234"/>
      <c r="S24" s="234"/>
      <c r="T24" s="234"/>
      <c r="U24" s="234"/>
      <c r="V24" s="234"/>
      <c r="W24" s="234"/>
      <c r="X24" s="234"/>
    </row>
    <row r="25" spans="1:26" thickBot="1" x14ac:dyDescent="0.25">
      <c r="B25" s="234"/>
      <c r="C25" s="234"/>
      <c r="D25" s="240"/>
      <c r="E25" s="240"/>
      <c r="F25" s="240"/>
      <c r="G25" s="240"/>
      <c r="I25" s="95" t="s">
        <v>20</v>
      </c>
      <c r="J25" s="96">
        <f>'Jan-26'!J15+'Feb-26'!J15</f>
        <v>786.72</v>
      </c>
      <c r="L25" s="407" t="s">
        <v>170</v>
      </c>
      <c r="M25" s="408"/>
      <c r="N25" s="419">
        <f>12937+513.61</f>
        <v>13450.61</v>
      </c>
      <c r="O25" s="420"/>
      <c r="Q25" s="234"/>
      <c r="R25" s="246"/>
      <c r="S25" s="234"/>
      <c r="T25" s="234"/>
      <c r="U25" s="234"/>
      <c r="V25" s="234"/>
      <c r="W25" s="234"/>
      <c r="X25" s="234"/>
    </row>
    <row r="26" spans="1:26" thickBot="1" x14ac:dyDescent="0.25">
      <c r="B26" s="234"/>
      <c r="C26" s="234"/>
      <c r="D26" s="234"/>
      <c r="E26" s="234"/>
      <c r="F26" s="234"/>
      <c r="G26" s="234"/>
      <c r="I26" s="95" t="s">
        <v>22</v>
      </c>
      <c r="J26" s="96">
        <f>'Jan-26'!J16+'Feb-26'!J16</f>
        <v>956.97</v>
      </c>
      <c r="L26" s="407" t="s">
        <v>171</v>
      </c>
      <c r="M26" s="408"/>
      <c r="N26" s="419">
        <v>5000</v>
      </c>
      <c r="O26" s="420"/>
      <c r="Q26" s="234"/>
      <c r="R26" s="234"/>
      <c r="S26" s="234"/>
      <c r="T26" s="234"/>
      <c r="U26" s="234"/>
      <c r="V26" s="234"/>
      <c r="W26" s="234"/>
      <c r="X26" s="234"/>
    </row>
    <row r="27" spans="1:26" ht="15.75" thickBot="1" x14ac:dyDescent="0.25">
      <c r="B27" s="234"/>
      <c r="C27" s="234"/>
      <c r="D27" s="234"/>
      <c r="E27" s="234"/>
      <c r="F27" s="234"/>
      <c r="G27" s="234"/>
      <c r="I27" s="95" t="s">
        <v>25</v>
      </c>
      <c r="J27" s="96">
        <f>'Jan-26'!J17+'Feb-26'!J17</f>
        <v>355.12</v>
      </c>
      <c r="L27" s="240"/>
      <c r="M27" s="240"/>
      <c r="N27" s="421">
        <f>SUM(N25:O26)</f>
        <v>18450.61</v>
      </c>
      <c r="O27" s="422"/>
      <c r="Q27" s="242" t="s">
        <v>214</v>
      </c>
      <c r="R27" s="234"/>
      <c r="S27" s="234"/>
      <c r="T27" s="234"/>
      <c r="U27" s="234"/>
      <c r="V27" s="234"/>
      <c r="W27" s="234"/>
      <c r="X27" s="234"/>
    </row>
    <row r="28" spans="1:26" ht="12.75" x14ac:dyDescent="0.2">
      <c r="B28" s="234"/>
      <c r="C28" s="234"/>
      <c r="D28" s="234"/>
      <c r="E28" s="234"/>
      <c r="F28" s="234"/>
      <c r="G28" s="234"/>
      <c r="I28" s="95" t="s">
        <v>1</v>
      </c>
      <c r="J28" s="96">
        <f>'Jan-26'!J18+'Feb-26'!J18</f>
        <v>18400</v>
      </c>
      <c r="L28" s="240"/>
      <c r="M28" s="240"/>
      <c r="N28" s="240"/>
      <c r="O28" s="240"/>
      <c r="Q28" s="234"/>
      <c r="R28" s="234"/>
      <c r="S28" s="234"/>
      <c r="T28" s="234"/>
      <c r="U28" s="234"/>
      <c r="V28" s="234"/>
      <c r="W28" s="234"/>
      <c r="X28" s="234"/>
    </row>
    <row r="29" spans="1:26" ht="13.5" thickBot="1" x14ac:dyDescent="0.25">
      <c r="B29" s="234"/>
      <c r="C29" s="234"/>
      <c r="D29" s="234"/>
      <c r="E29" s="234"/>
      <c r="F29" s="234"/>
      <c r="G29" s="234"/>
      <c r="I29" s="97" t="s">
        <v>8</v>
      </c>
      <c r="J29" s="98">
        <f>'Jan-26'!J19+'Feb-26'!J19</f>
        <v>482</v>
      </c>
      <c r="L29" s="234"/>
      <c r="M29" s="235"/>
      <c r="N29" s="234"/>
      <c r="O29" s="238"/>
      <c r="Q29" s="234"/>
      <c r="R29" s="234"/>
      <c r="S29" s="234"/>
      <c r="T29" s="234"/>
      <c r="U29" s="234"/>
      <c r="V29" s="234"/>
      <c r="W29" s="234"/>
      <c r="X29" s="234"/>
    </row>
    <row r="30" spans="1:26" ht="7.5" customHeight="1" thickBot="1" x14ac:dyDescent="0.25">
      <c r="B30" s="234"/>
      <c r="C30" s="234"/>
      <c r="D30" s="234"/>
      <c r="E30" s="234"/>
      <c r="F30" s="234"/>
      <c r="G30" s="234"/>
      <c r="I30" s="235"/>
      <c r="J30" s="235"/>
      <c r="L30" s="234"/>
      <c r="M30" s="235"/>
      <c r="N30" s="234"/>
      <c r="O30" s="238"/>
      <c r="Q30" s="234"/>
      <c r="R30" s="234"/>
      <c r="S30" s="234"/>
      <c r="T30" s="234"/>
      <c r="U30" s="234"/>
      <c r="V30" s="234"/>
      <c r="W30" s="234"/>
      <c r="X30" s="234"/>
    </row>
    <row r="31" spans="1:26" ht="12.75" customHeight="1" thickBot="1" x14ac:dyDescent="0.25">
      <c r="B31" s="234"/>
      <c r="C31" s="234"/>
      <c r="D31" s="234"/>
      <c r="E31" s="234"/>
      <c r="F31" s="234"/>
      <c r="G31" s="234"/>
      <c r="I31" s="86" t="s">
        <v>80</v>
      </c>
      <c r="J31" s="87">
        <f>SUM(J22:J29)-J28-J29</f>
        <v>8437.2900000000009</v>
      </c>
      <c r="L31" s="234"/>
      <c r="M31" s="235"/>
      <c r="N31" s="234"/>
      <c r="O31" s="238"/>
      <c r="Q31" s="234"/>
      <c r="R31" s="234"/>
      <c r="S31" s="234"/>
      <c r="T31" s="234"/>
      <c r="U31" s="234"/>
      <c r="V31" s="234"/>
      <c r="W31" s="234"/>
      <c r="X31" s="234"/>
    </row>
    <row r="32" spans="1:26" ht="12.75" customHeight="1" x14ac:dyDescent="0.2">
      <c r="B32" s="234"/>
      <c r="C32" s="234"/>
      <c r="D32" s="234"/>
      <c r="E32" s="234"/>
      <c r="F32" s="234"/>
      <c r="G32" s="234"/>
      <c r="I32" s="234"/>
      <c r="J32" s="234"/>
      <c r="L32" s="234"/>
      <c r="M32" s="235"/>
      <c r="N32" s="234"/>
      <c r="O32" s="238"/>
      <c r="Q32" s="234"/>
      <c r="R32" s="234"/>
      <c r="S32" s="234"/>
      <c r="T32" s="234"/>
      <c r="U32" s="234"/>
      <c r="V32" s="234"/>
      <c r="W32" s="234"/>
      <c r="X32" s="234"/>
    </row>
    <row r="33" spans="2:24" ht="12.75" customHeight="1" x14ac:dyDescent="0.2">
      <c r="B33" s="234"/>
      <c r="C33" s="234"/>
      <c r="D33" s="234"/>
      <c r="E33" s="234"/>
      <c r="F33" s="234"/>
      <c r="G33" s="234"/>
      <c r="I33" s="234"/>
      <c r="J33" s="234"/>
      <c r="L33" s="234"/>
      <c r="M33" s="234"/>
      <c r="N33" s="234"/>
      <c r="O33" s="238"/>
      <c r="Q33" s="234"/>
      <c r="R33" s="234"/>
      <c r="S33" s="234"/>
      <c r="T33" s="234"/>
      <c r="U33" s="234"/>
      <c r="V33" s="234"/>
      <c r="W33" s="234"/>
      <c r="X33" s="234"/>
    </row>
    <row r="34" spans="2:24" ht="12.75" customHeight="1" x14ac:dyDescent="0.2">
      <c r="B34" s="234"/>
      <c r="C34" s="234"/>
      <c r="D34" s="234"/>
      <c r="E34" s="234"/>
      <c r="F34" s="234"/>
      <c r="G34" s="234"/>
      <c r="I34" s="234"/>
      <c r="J34" s="234"/>
      <c r="L34" s="234"/>
      <c r="M34" s="234"/>
      <c r="N34" s="234"/>
      <c r="O34" s="238"/>
      <c r="Q34" s="234"/>
      <c r="R34" s="234"/>
      <c r="S34" s="234"/>
      <c r="T34" s="234"/>
      <c r="U34" s="234"/>
      <c r="V34" s="234"/>
      <c r="W34" s="234"/>
      <c r="X34" s="234"/>
    </row>
    <row r="35" spans="2:24" ht="12.75" customHeight="1" x14ac:dyDescent="0.2">
      <c r="B35" s="234"/>
      <c r="C35" s="234"/>
      <c r="D35" s="234"/>
      <c r="E35" s="234"/>
      <c r="F35" s="234"/>
      <c r="G35" s="234"/>
      <c r="I35" s="234"/>
      <c r="J35" s="234"/>
      <c r="L35" s="234"/>
      <c r="M35" s="234"/>
      <c r="N35" s="234"/>
      <c r="O35" s="238"/>
      <c r="Q35" s="234"/>
      <c r="R35" s="234"/>
      <c r="S35" s="234"/>
      <c r="T35" s="234"/>
      <c r="U35" s="234"/>
      <c r="V35" s="234"/>
      <c r="W35" s="234"/>
      <c r="X35" s="234"/>
    </row>
    <row r="36" spans="2:24" ht="12.75" customHeight="1" x14ac:dyDescent="0.2">
      <c r="B36" s="234"/>
      <c r="C36" s="234"/>
      <c r="D36" s="234"/>
      <c r="E36" s="234"/>
      <c r="F36" s="234"/>
      <c r="G36" s="234"/>
      <c r="I36" s="234"/>
      <c r="J36" s="234"/>
      <c r="L36" s="234"/>
      <c r="M36" s="234"/>
      <c r="N36" s="235"/>
      <c r="O36" s="238"/>
      <c r="Q36" s="234"/>
      <c r="R36" s="234"/>
      <c r="S36" s="234"/>
      <c r="T36" s="234"/>
      <c r="U36" s="234"/>
      <c r="V36" s="234"/>
      <c r="W36" s="234"/>
      <c r="X36" s="234"/>
    </row>
    <row r="37" spans="2:24" ht="12.75" customHeight="1" x14ac:dyDescent="0.2">
      <c r="B37" s="234"/>
      <c r="C37" s="234"/>
      <c r="D37" s="234"/>
      <c r="E37" s="234"/>
      <c r="F37" s="234"/>
      <c r="G37" s="234"/>
      <c r="I37" s="234"/>
      <c r="J37" s="234"/>
      <c r="L37" s="234"/>
      <c r="M37" s="234"/>
      <c r="N37" s="235"/>
      <c r="O37" s="238"/>
      <c r="Q37" s="234"/>
      <c r="R37" s="234"/>
      <c r="S37" s="234"/>
      <c r="T37" s="234"/>
      <c r="U37" s="234"/>
      <c r="V37" s="234"/>
      <c r="W37" s="234"/>
      <c r="X37" s="234"/>
    </row>
    <row r="38" spans="2:24" ht="12.75" customHeight="1" x14ac:dyDescent="0.2">
      <c r="B38" s="234"/>
      <c r="C38" s="234"/>
      <c r="D38" s="234"/>
      <c r="E38" s="234"/>
      <c r="F38" s="234"/>
      <c r="G38" s="234"/>
      <c r="I38" s="234"/>
      <c r="J38" s="234"/>
      <c r="L38" s="234"/>
      <c r="M38" s="234"/>
      <c r="N38" s="235"/>
      <c r="O38" s="243"/>
      <c r="Q38" s="234"/>
      <c r="R38" s="234"/>
      <c r="S38" s="234"/>
      <c r="T38" s="234"/>
      <c r="U38" s="234"/>
      <c r="V38" s="234"/>
      <c r="W38" s="234"/>
      <c r="X38" s="234"/>
    </row>
    <row r="39" spans="2:24" ht="12.75" customHeight="1" x14ac:dyDescent="0.2">
      <c r="B39" s="234"/>
      <c r="C39" s="234"/>
      <c r="D39" s="234"/>
      <c r="E39" s="234"/>
      <c r="F39" s="234"/>
      <c r="G39" s="234"/>
      <c r="I39" s="234"/>
      <c r="J39" s="234"/>
      <c r="L39" s="234"/>
      <c r="M39" s="234"/>
      <c r="N39" s="234"/>
      <c r="O39" s="238"/>
      <c r="Q39" s="234"/>
      <c r="R39" s="234"/>
      <c r="S39" s="234"/>
      <c r="T39" s="234"/>
      <c r="U39" s="234"/>
      <c r="V39" s="234"/>
      <c r="W39" s="234"/>
      <c r="X39" s="234"/>
    </row>
    <row r="40" spans="2:24" ht="12.75" customHeight="1" x14ac:dyDescent="0.2">
      <c r="B40" s="234"/>
      <c r="C40" s="234"/>
      <c r="D40" s="234"/>
      <c r="E40" s="234"/>
      <c r="F40" s="234"/>
      <c r="G40" s="234"/>
      <c r="I40" s="234"/>
      <c r="J40" s="234"/>
      <c r="L40" s="234"/>
      <c r="M40" s="234"/>
      <c r="N40" s="234"/>
      <c r="O40" s="238"/>
      <c r="Q40" s="234"/>
      <c r="R40" s="234"/>
      <c r="S40" s="234"/>
      <c r="T40" s="234"/>
      <c r="U40" s="234"/>
      <c r="V40" s="234"/>
      <c r="W40" s="234"/>
      <c r="X40" s="234"/>
    </row>
    <row r="41" spans="2:24" ht="12.75" customHeight="1" x14ac:dyDescent="0.2">
      <c r="B41" s="234"/>
      <c r="C41" s="234"/>
      <c r="D41" s="234"/>
      <c r="E41" s="234"/>
      <c r="F41" s="234"/>
      <c r="G41" s="234"/>
      <c r="I41" s="234"/>
      <c r="J41" s="234"/>
      <c r="L41" s="234"/>
      <c r="M41" s="234"/>
      <c r="N41" s="234"/>
      <c r="O41" s="238"/>
      <c r="Q41" s="234"/>
      <c r="R41" s="234"/>
      <c r="S41" s="234"/>
      <c r="T41" s="234"/>
      <c r="U41" s="234"/>
      <c r="V41" s="234"/>
      <c r="W41" s="234"/>
      <c r="X41" s="234"/>
    </row>
    <row r="42" spans="2:24" ht="12.75" customHeight="1" x14ac:dyDescent="0.2">
      <c r="B42" s="234"/>
      <c r="C42" s="234"/>
      <c r="D42" s="234"/>
      <c r="E42" s="234"/>
      <c r="F42" s="234"/>
      <c r="G42" s="234"/>
      <c r="I42" s="234"/>
      <c r="J42" s="234"/>
      <c r="L42" s="234"/>
      <c r="M42" s="234"/>
      <c r="N42" s="234"/>
      <c r="O42" s="238"/>
      <c r="Q42" s="234"/>
      <c r="R42" s="234"/>
      <c r="S42" s="234"/>
      <c r="T42" s="234"/>
      <c r="U42" s="234"/>
      <c r="V42" s="234"/>
      <c r="W42" s="234"/>
      <c r="X42" s="234"/>
    </row>
    <row r="43" spans="2:24" ht="12.75" customHeight="1" x14ac:dyDescent="0.2">
      <c r="B43" s="234"/>
      <c r="C43" s="234"/>
      <c r="D43" s="234"/>
      <c r="E43" s="234"/>
      <c r="F43" s="234"/>
      <c r="G43" s="234"/>
      <c r="I43" s="234"/>
      <c r="J43" s="234"/>
      <c r="L43" s="234"/>
      <c r="M43" s="234"/>
      <c r="N43" s="234"/>
      <c r="O43" s="238"/>
    </row>
    <row r="44" spans="2:24" ht="12.75" customHeight="1" x14ac:dyDescent="0.2">
      <c r="B44" s="234"/>
      <c r="C44" s="234"/>
      <c r="D44" s="234"/>
      <c r="E44" s="234"/>
      <c r="F44" s="234"/>
      <c r="G44" s="234"/>
      <c r="I44" s="234"/>
      <c r="J44" s="234"/>
      <c r="L44" s="234"/>
      <c r="M44" s="234"/>
      <c r="N44" s="234"/>
      <c r="O44" s="238"/>
    </row>
    <row r="45" spans="2:24" ht="12.75" customHeight="1" x14ac:dyDescent="0.2">
      <c r="B45" s="234"/>
      <c r="C45" s="234"/>
      <c r="D45" s="234"/>
      <c r="E45" s="234"/>
      <c r="F45" s="234"/>
      <c r="G45" s="234"/>
      <c r="I45" s="234"/>
      <c r="J45" s="234"/>
      <c r="L45" s="234"/>
      <c r="M45" s="234"/>
      <c r="N45" s="234"/>
      <c r="O45" s="238"/>
    </row>
    <row r="46" spans="2:24" ht="12.75" customHeight="1" x14ac:dyDescent="0.2">
      <c r="B46" s="234"/>
      <c r="C46" s="234"/>
      <c r="D46" s="234"/>
      <c r="E46" s="234"/>
      <c r="F46" s="234"/>
      <c r="G46" s="234"/>
      <c r="I46" s="234"/>
      <c r="J46" s="234"/>
      <c r="L46" s="234"/>
      <c r="M46" s="234"/>
      <c r="N46" s="234"/>
      <c r="O46" s="238"/>
    </row>
    <row r="47" spans="2:24" ht="12.75" customHeight="1" x14ac:dyDescent="0.2">
      <c r="B47" s="234"/>
      <c r="C47" s="234"/>
      <c r="D47" s="234"/>
      <c r="E47" s="234"/>
      <c r="F47" s="234"/>
      <c r="G47" s="234"/>
      <c r="I47" s="234"/>
      <c r="J47" s="234"/>
      <c r="L47" s="234"/>
      <c r="M47" s="234"/>
      <c r="N47" s="234"/>
      <c r="O47" s="238"/>
    </row>
    <row r="48" spans="2:24" ht="12.75" customHeight="1" x14ac:dyDescent="0.2">
      <c r="B48" s="234"/>
      <c r="C48" s="234"/>
      <c r="D48" s="234"/>
      <c r="E48" s="234"/>
      <c r="F48" s="234"/>
      <c r="G48" s="234"/>
      <c r="I48" s="234"/>
      <c r="J48" s="234"/>
      <c r="L48" s="234"/>
      <c r="M48" s="234"/>
      <c r="N48" s="234"/>
      <c r="O48" s="238"/>
    </row>
    <row r="49" spans="2:15" ht="12.75" customHeight="1" x14ac:dyDescent="0.2">
      <c r="B49" s="234"/>
      <c r="C49" s="234"/>
      <c r="D49" s="234"/>
      <c r="E49" s="234"/>
      <c r="F49" s="234"/>
      <c r="G49" s="234"/>
      <c r="I49" s="234"/>
      <c r="J49" s="234"/>
      <c r="L49" s="234"/>
      <c r="M49" s="234"/>
      <c r="N49" s="234"/>
      <c r="O49" s="238"/>
    </row>
    <row r="50" spans="2:15" ht="12.75" customHeight="1" x14ac:dyDescent="0.2">
      <c r="B50" s="81"/>
      <c r="C50" s="81"/>
      <c r="D50" s="81"/>
      <c r="E50" s="81"/>
      <c r="F50" s="81"/>
      <c r="G50" s="81"/>
      <c r="I50" s="81"/>
      <c r="J50" s="81"/>
      <c r="L50" s="81"/>
      <c r="N50" s="81"/>
      <c r="O50" s="82"/>
    </row>
    <row r="51" spans="2:15" ht="12.75" customHeight="1" x14ac:dyDescent="0.2">
      <c r="B51" s="81"/>
      <c r="C51" s="81"/>
      <c r="D51" s="81"/>
      <c r="E51" s="81"/>
      <c r="F51" s="81"/>
      <c r="G51" s="81"/>
      <c r="I51" s="81"/>
      <c r="J51" s="81"/>
      <c r="L51" s="81"/>
      <c r="N51" s="208"/>
      <c r="O51" s="82"/>
    </row>
    <row r="52" spans="2:15" ht="12.75" customHeight="1" x14ac:dyDescent="0.2">
      <c r="B52" s="81"/>
      <c r="C52" s="81"/>
      <c r="D52" s="81"/>
      <c r="E52" s="81"/>
      <c r="F52" s="81"/>
      <c r="G52" s="81"/>
      <c r="I52" s="81"/>
      <c r="J52" s="81"/>
      <c r="L52" s="81"/>
      <c r="N52" s="208"/>
      <c r="O52" s="82"/>
    </row>
    <row r="53" spans="2:15" ht="12.75" customHeight="1" x14ac:dyDescent="0.2">
      <c r="B53" s="81"/>
      <c r="C53" s="81"/>
      <c r="D53" s="81"/>
      <c r="E53" s="81"/>
      <c r="F53" s="81"/>
      <c r="G53" s="81"/>
      <c r="I53" s="81"/>
      <c r="J53" s="81"/>
      <c r="L53" s="81"/>
      <c r="N53" s="208"/>
      <c r="O53" s="82"/>
    </row>
    <row r="54" spans="2:15" ht="12.75" customHeight="1" x14ac:dyDescent="0.2">
      <c r="B54" s="81"/>
      <c r="C54" s="81"/>
      <c r="D54" s="81"/>
      <c r="E54" s="81"/>
      <c r="F54" s="81"/>
      <c r="G54" s="81"/>
      <c r="I54" s="81"/>
      <c r="J54" s="81"/>
      <c r="L54" s="81"/>
      <c r="N54" s="208"/>
      <c r="O54" s="82"/>
    </row>
    <row r="55" spans="2:15" ht="12.75" customHeight="1" x14ac:dyDescent="0.2">
      <c r="B55" s="81"/>
      <c r="C55" s="81"/>
      <c r="D55" s="81"/>
      <c r="E55" s="81"/>
      <c r="F55" s="81"/>
      <c r="G55" s="81"/>
      <c r="I55" s="81"/>
      <c r="J55" s="81"/>
      <c r="L55" s="81"/>
      <c r="N55" s="208"/>
      <c r="O55" s="82"/>
    </row>
    <row r="56" spans="2:15" ht="12.75" customHeight="1" x14ac:dyDescent="0.2">
      <c r="B56" s="81"/>
      <c r="C56" s="81"/>
      <c r="D56" s="81"/>
      <c r="E56" s="81"/>
      <c r="F56" s="81"/>
      <c r="G56" s="81"/>
      <c r="I56" s="81"/>
      <c r="J56" s="81"/>
      <c r="L56" s="209"/>
      <c r="N56" s="208"/>
      <c r="O56" s="82"/>
    </row>
    <row r="57" spans="2:15" ht="12.75" customHeight="1" x14ac:dyDescent="0.2">
      <c r="B57" s="81"/>
      <c r="C57" s="81"/>
      <c r="D57" s="81"/>
      <c r="E57" s="81"/>
      <c r="F57" s="81"/>
      <c r="G57" s="81"/>
      <c r="I57" s="81"/>
      <c r="J57" s="81"/>
      <c r="L57" s="81"/>
      <c r="N57" s="208"/>
      <c r="O57" s="82"/>
    </row>
    <row r="58" spans="2:15" ht="12.75" customHeight="1" x14ac:dyDescent="0.2">
      <c r="B58" s="81"/>
      <c r="C58" s="81"/>
      <c r="D58" s="81"/>
      <c r="E58" s="81"/>
      <c r="F58" s="81"/>
      <c r="G58" s="81"/>
      <c r="I58" s="81"/>
      <c r="J58" s="81"/>
      <c r="L58" s="81"/>
      <c r="N58" s="208"/>
      <c r="O58" s="82"/>
    </row>
    <row r="59" spans="2:15" ht="12.75" customHeight="1" x14ac:dyDescent="0.2">
      <c r="B59" s="81"/>
      <c r="C59" s="81"/>
      <c r="D59" s="81"/>
      <c r="E59" s="81"/>
      <c r="F59" s="81"/>
      <c r="G59" s="81"/>
      <c r="I59" s="81"/>
      <c r="J59" s="81"/>
      <c r="L59" s="81"/>
      <c r="N59" s="208"/>
      <c r="O59" s="82"/>
    </row>
    <row r="60" spans="2:15" ht="12.75" customHeight="1" x14ac:dyDescent="0.2">
      <c r="B60" s="81"/>
      <c r="C60" s="81"/>
      <c r="D60" s="81"/>
      <c r="E60" s="81"/>
      <c r="F60" s="81"/>
      <c r="G60" s="81"/>
      <c r="I60" s="81"/>
      <c r="J60" s="81"/>
      <c r="L60" s="81"/>
      <c r="N60" s="81"/>
      <c r="O60" s="82"/>
    </row>
    <row r="61" spans="2:15" ht="12.75" customHeight="1" x14ac:dyDescent="0.2">
      <c r="B61" s="81"/>
      <c r="C61" s="81"/>
      <c r="D61" s="81"/>
      <c r="E61" s="81"/>
      <c r="F61" s="81"/>
      <c r="G61" s="81"/>
      <c r="I61" s="81"/>
      <c r="J61" s="81"/>
      <c r="L61" s="81"/>
      <c r="N61" s="81"/>
      <c r="O61" s="82"/>
    </row>
    <row r="62" spans="2:15" ht="12.75" customHeight="1" x14ac:dyDescent="0.2">
      <c r="B62" s="81"/>
      <c r="C62" s="81"/>
      <c r="D62" s="81"/>
      <c r="E62" s="81"/>
      <c r="F62" s="81"/>
      <c r="G62" s="81"/>
      <c r="I62" s="81"/>
      <c r="J62" s="81"/>
      <c r="L62" s="81"/>
      <c r="N62" s="81"/>
      <c r="O62" s="82"/>
    </row>
    <row r="63" spans="2:15" ht="12.75" customHeight="1" x14ac:dyDescent="0.2">
      <c r="B63" s="81"/>
      <c r="C63" s="81"/>
      <c r="D63" s="81"/>
      <c r="E63" s="81"/>
      <c r="F63" s="81"/>
      <c r="G63" s="81"/>
      <c r="I63" s="81"/>
      <c r="J63" s="81"/>
      <c r="L63" s="81"/>
      <c r="N63" s="81"/>
      <c r="O63" s="82"/>
    </row>
    <row r="64" spans="2:15" ht="12.75" customHeight="1" x14ac:dyDescent="0.2">
      <c r="B64" s="81"/>
      <c r="C64" s="81"/>
      <c r="D64" s="81"/>
      <c r="E64" s="81"/>
      <c r="F64" s="81"/>
      <c r="G64" s="81"/>
      <c r="I64" s="81"/>
      <c r="J64" s="81"/>
      <c r="L64" s="81"/>
      <c r="N64" s="81"/>
      <c r="O64" s="82"/>
    </row>
    <row r="65" spans="2:15" ht="12.75" customHeight="1" x14ac:dyDescent="0.2">
      <c r="B65" s="81"/>
      <c r="C65" s="81"/>
      <c r="D65" s="81"/>
      <c r="E65" s="81"/>
      <c r="F65" s="81"/>
      <c r="G65" s="81"/>
      <c r="I65" s="81"/>
      <c r="J65" s="81"/>
      <c r="L65" s="81"/>
      <c r="N65" s="81"/>
      <c r="O65" s="82"/>
    </row>
    <row r="66" spans="2:15" ht="12.75" customHeight="1" x14ac:dyDescent="0.2">
      <c r="B66" s="81"/>
      <c r="C66" s="81" t="s">
        <v>78</v>
      </c>
      <c r="D66" s="81"/>
      <c r="E66" s="81"/>
      <c r="F66" s="81"/>
      <c r="G66" s="81"/>
      <c r="I66" s="81"/>
      <c r="J66" s="81"/>
      <c r="L66" s="81"/>
      <c r="N66" s="81"/>
      <c r="O66" s="82"/>
    </row>
    <row r="67" spans="2:15" ht="12.75" customHeight="1" x14ac:dyDescent="0.2">
      <c r="B67" s="81"/>
      <c r="C67" s="81"/>
      <c r="D67" s="81"/>
      <c r="E67" s="81"/>
      <c r="F67" s="81"/>
      <c r="G67" s="81"/>
      <c r="I67" s="81"/>
      <c r="J67" s="81"/>
      <c r="L67" s="81"/>
      <c r="N67" s="81"/>
      <c r="O67" s="82"/>
    </row>
    <row r="68" spans="2:15" ht="12.75" customHeight="1" x14ac:dyDescent="0.2">
      <c r="B68" s="81"/>
      <c r="C68" s="81"/>
      <c r="D68" s="81"/>
      <c r="E68" s="81"/>
      <c r="F68" s="81"/>
      <c r="G68" s="81"/>
      <c r="I68" s="81"/>
      <c r="J68" s="81"/>
      <c r="L68" s="81"/>
      <c r="N68" s="81"/>
      <c r="O68" s="82"/>
    </row>
    <row r="69" spans="2:15" ht="12.75" customHeight="1" x14ac:dyDescent="0.2">
      <c r="B69" s="81"/>
      <c r="C69" s="81"/>
      <c r="D69" s="81"/>
      <c r="E69" s="81"/>
      <c r="F69" s="81"/>
      <c r="G69" s="81"/>
      <c r="I69" s="81"/>
      <c r="J69" s="81"/>
      <c r="L69" s="81"/>
      <c r="N69" s="81"/>
      <c r="O69" s="82"/>
    </row>
    <row r="70" spans="2:15" ht="12.75" customHeight="1" x14ac:dyDescent="0.2">
      <c r="B70" s="81"/>
      <c r="C70" s="81"/>
      <c r="D70" s="81"/>
      <c r="E70" s="81"/>
      <c r="F70" s="81"/>
      <c r="G70" s="81"/>
      <c r="I70" s="81"/>
      <c r="J70" s="81"/>
      <c r="L70" s="81"/>
      <c r="N70" s="81"/>
      <c r="O70" s="82"/>
    </row>
    <row r="71" spans="2:15" ht="12.75" customHeight="1" x14ac:dyDescent="0.2">
      <c r="B71" s="81"/>
      <c r="C71" s="81"/>
      <c r="D71" s="81"/>
      <c r="E71" s="81"/>
      <c r="F71" s="81"/>
      <c r="G71" s="81"/>
      <c r="I71" s="81"/>
      <c r="J71" s="81"/>
      <c r="L71" s="81"/>
      <c r="N71" s="81"/>
      <c r="O71" s="82"/>
    </row>
    <row r="72" spans="2:15" ht="12.75" customHeight="1" x14ac:dyDescent="0.2">
      <c r="B72" s="81"/>
      <c r="C72" s="81"/>
      <c r="D72" s="81"/>
      <c r="E72" s="81"/>
      <c r="F72" s="81"/>
      <c r="G72" s="81"/>
      <c r="I72" s="81"/>
      <c r="J72" s="81"/>
      <c r="L72" s="81"/>
      <c r="N72" s="81"/>
      <c r="O72" s="82"/>
    </row>
    <row r="73" spans="2:15" ht="12.75" customHeight="1" x14ac:dyDescent="0.2">
      <c r="B73" s="81"/>
      <c r="C73" s="81"/>
      <c r="D73" s="81"/>
      <c r="E73" s="81"/>
      <c r="F73" s="81"/>
      <c r="G73" s="81"/>
      <c r="I73" s="81"/>
      <c r="J73" s="81"/>
      <c r="L73" s="81"/>
      <c r="N73" s="81"/>
      <c r="O73" s="82"/>
    </row>
    <row r="74" spans="2:15" ht="12.75" customHeight="1" x14ac:dyDescent="0.2">
      <c r="B74" s="81"/>
      <c r="C74" s="81"/>
      <c r="D74" s="81"/>
      <c r="E74" s="81"/>
      <c r="F74" s="81"/>
      <c r="G74" s="81"/>
      <c r="I74" s="81"/>
      <c r="J74" s="81"/>
      <c r="L74" s="81"/>
      <c r="N74" s="81"/>
      <c r="O74" s="82"/>
    </row>
    <row r="75" spans="2:15" ht="12.75" customHeight="1" x14ac:dyDescent="0.2">
      <c r="B75" s="81"/>
      <c r="C75" s="81"/>
      <c r="D75" s="81"/>
      <c r="E75" s="81"/>
      <c r="F75" s="81"/>
      <c r="G75" s="81"/>
      <c r="I75" s="81"/>
      <c r="J75" s="81"/>
      <c r="L75" s="81"/>
      <c r="N75" s="81"/>
      <c r="O75" s="82"/>
    </row>
    <row r="76" spans="2:15" ht="12.75" customHeight="1" x14ac:dyDescent="0.2">
      <c r="B76" s="81"/>
      <c r="C76" s="81"/>
      <c r="D76" s="81"/>
      <c r="E76" s="81"/>
      <c r="F76" s="81"/>
      <c r="G76" s="81"/>
      <c r="I76" s="81"/>
      <c r="J76" s="81"/>
      <c r="L76" s="81"/>
      <c r="N76" s="81"/>
      <c r="O76" s="82"/>
    </row>
    <row r="77" spans="2:15" ht="12.75" customHeight="1" x14ac:dyDescent="0.2">
      <c r="B77" s="81"/>
      <c r="C77" s="81"/>
      <c r="D77" s="81"/>
      <c r="E77" s="81"/>
      <c r="F77" s="81"/>
      <c r="G77" s="81"/>
      <c r="I77" s="81"/>
      <c r="J77" s="81"/>
      <c r="L77" s="81"/>
      <c r="N77" s="81"/>
      <c r="O77" s="82"/>
    </row>
    <row r="78" spans="2:15" ht="12.75" customHeight="1" x14ac:dyDescent="0.2">
      <c r="B78" s="81"/>
      <c r="C78" s="81"/>
      <c r="D78" s="81"/>
      <c r="E78" s="81"/>
      <c r="F78" s="81"/>
      <c r="G78" s="81"/>
      <c r="I78" s="81"/>
      <c r="J78" s="81"/>
      <c r="L78" s="81"/>
      <c r="N78" s="81"/>
      <c r="O78" s="82"/>
    </row>
    <row r="79" spans="2:15" ht="12.75" customHeight="1" x14ac:dyDescent="0.2">
      <c r="B79" s="81"/>
      <c r="C79" s="81"/>
      <c r="D79" s="81"/>
      <c r="E79" s="81"/>
      <c r="F79" s="81"/>
      <c r="G79" s="81"/>
      <c r="I79" s="81"/>
      <c r="J79" s="81"/>
      <c r="L79" s="81"/>
      <c r="N79" s="81"/>
      <c r="O79" s="82"/>
    </row>
    <row r="80" spans="2:15" ht="12.75" customHeight="1" x14ac:dyDescent="0.2">
      <c r="B80" s="81"/>
      <c r="C80" s="81"/>
      <c r="D80" s="81"/>
      <c r="E80" s="81"/>
      <c r="F80" s="81"/>
      <c r="G80" s="81"/>
      <c r="I80" s="81"/>
      <c r="J80" s="81"/>
      <c r="L80" s="81"/>
      <c r="N80" s="81"/>
      <c r="O80" s="82"/>
    </row>
    <row r="81" spans="2:15" ht="12.75" customHeight="1" x14ac:dyDescent="0.2">
      <c r="B81" s="81"/>
      <c r="C81" s="81"/>
      <c r="D81" s="81"/>
      <c r="E81" s="81"/>
      <c r="F81" s="81"/>
      <c r="G81" s="81"/>
      <c r="I81" s="81"/>
      <c r="J81" s="81"/>
      <c r="L81" s="81"/>
      <c r="N81" s="81"/>
      <c r="O81" s="82"/>
    </row>
    <row r="82" spans="2:15" ht="12.75" customHeight="1" x14ac:dyDescent="0.2">
      <c r="B82" s="81"/>
      <c r="C82" s="81"/>
      <c r="D82" s="81"/>
      <c r="E82" s="81"/>
      <c r="F82" s="81"/>
      <c r="G82" s="81"/>
      <c r="I82" s="81"/>
      <c r="J82" s="81"/>
      <c r="L82" s="81"/>
      <c r="N82" s="81"/>
      <c r="O82" s="82"/>
    </row>
    <row r="83" spans="2:15" ht="12.75" customHeight="1" x14ac:dyDescent="0.2">
      <c r="B83" s="81"/>
      <c r="C83" s="81"/>
      <c r="D83" s="81"/>
      <c r="E83" s="81"/>
      <c r="F83" s="81"/>
      <c r="G83" s="81"/>
      <c r="I83" s="81"/>
      <c r="J83" s="81"/>
      <c r="L83" s="81"/>
      <c r="N83" s="81"/>
      <c r="O83" s="82"/>
    </row>
    <row r="84" spans="2:15" ht="12.75" customHeight="1" x14ac:dyDescent="0.2">
      <c r="B84" s="81"/>
      <c r="C84" s="81"/>
      <c r="D84" s="81"/>
      <c r="E84" s="81"/>
      <c r="F84" s="81"/>
      <c r="G84" s="81"/>
      <c r="I84" s="81"/>
      <c r="J84" s="81"/>
      <c r="L84" s="81"/>
      <c r="N84" s="81"/>
      <c r="O84" s="82"/>
    </row>
    <row r="85" spans="2:15" ht="12.75" customHeight="1" x14ac:dyDescent="0.2">
      <c r="B85" s="81"/>
      <c r="C85" s="81"/>
      <c r="D85" s="81"/>
      <c r="E85" s="81"/>
      <c r="F85" s="81"/>
      <c r="G85" s="81"/>
      <c r="I85" s="81"/>
      <c r="J85" s="81"/>
      <c r="L85" s="81"/>
      <c r="N85" s="81"/>
      <c r="O85" s="82"/>
    </row>
    <row r="86" spans="2:15" ht="12.75" customHeight="1" x14ac:dyDescent="0.2">
      <c r="B86" s="81"/>
      <c r="C86" s="81"/>
      <c r="D86" s="81"/>
      <c r="E86" s="81"/>
      <c r="F86" s="81"/>
      <c r="G86" s="81"/>
      <c r="I86" s="81"/>
      <c r="J86" s="81"/>
      <c r="L86" s="81"/>
      <c r="N86" s="81"/>
      <c r="O86" s="82"/>
    </row>
    <row r="87" spans="2:15" ht="12.75" customHeight="1" x14ac:dyDescent="0.2">
      <c r="B87" s="81"/>
      <c r="C87" s="81"/>
      <c r="D87" s="81"/>
      <c r="E87" s="81"/>
      <c r="F87" s="81"/>
      <c r="G87" s="81"/>
      <c r="I87" s="81"/>
      <c r="J87" s="81"/>
      <c r="L87" s="81"/>
      <c r="N87" s="81"/>
      <c r="O87" s="82"/>
    </row>
    <row r="88" spans="2:15" ht="12.75" customHeight="1" x14ac:dyDescent="0.2">
      <c r="B88" s="81"/>
      <c r="C88" s="81"/>
      <c r="D88" s="81"/>
      <c r="E88" s="81"/>
      <c r="F88" s="81"/>
      <c r="G88" s="81"/>
      <c r="I88" s="81"/>
      <c r="J88" s="81"/>
      <c r="L88" s="81"/>
      <c r="N88" s="81"/>
      <c r="O88" s="82"/>
    </row>
    <row r="89" spans="2:15" ht="12.75" customHeight="1" x14ac:dyDescent="0.2">
      <c r="B89" s="81"/>
      <c r="C89" s="81"/>
      <c r="D89" s="81"/>
      <c r="E89" s="81"/>
      <c r="F89" s="81"/>
      <c r="G89" s="81"/>
      <c r="I89" s="81"/>
      <c r="J89" s="81"/>
      <c r="L89" s="81"/>
      <c r="N89" s="81"/>
      <c r="O89" s="82"/>
    </row>
    <row r="90" spans="2:15" ht="12.75" customHeight="1" x14ac:dyDescent="0.2">
      <c r="B90" s="81"/>
      <c r="C90" s="81"/>
      <c r="D90" s="81"/>
      <c r="E90" s="81"/>
      <c r="F90" s="81"/>
      <c r="G90" s="81"/>
      <c r="I90" s="81"/>
      <c r="J90" s="81"/>
      <c r="L90" s="81"/>
      <c r="N90" s="81"/>
      <c r="O90" s="82"/>
    </row>
    <row r="91" spans="2:15" ht="12.75" customHeight="1" x14ac:dyDescent="0.2">
      <c r="B91" s="81"/>
      <c r="C91" s="81"/>
      <c r="D91" s="81"/>
      <c r="E91" s="81"/>
      <c r="F91" s="81"/>
      <c r="G91" s="81"/>
      <c r="I91" s="81"/>
      <c r="J91" s="81"/>
      <c r="L91" s="81"/>
      <c r="N91" s="81"/>
      <c r="O91" s="82"/>
    </row>
    <row r="92" spans="2:15" ht="12.75" customHeight="1" x14ac:dyDescent="0.2">
      <c r="B92" s="81"/>
      <c r="C92" s="81"/>
      <c r="D92" s="81"/>
      <c r="E92" s="81"/>
      <c r="F92" s="81"/>
      <c r="G92" s="81"/>
      <c r="I92" s="81"/>
      <c r="J92" s="81"/>
      <c r="L92" s="81"/>
      <c r="N92" s="81"/>
      <c r="O92" s="82"/>
    </row>
    <row r="93" spans="2:15" ht="12.75" customHeight="1" x14ac:dyDescent="0.2">
      <c r="B93" s="81"/>
      <c r="C93" s="81"/>
      <c r="D93" s="81"/>
      <c r="E93" s="81"/>
      <c r="F93" s="81"/>
      <c r="G93" s="81"/>
      <c r="I93" s="81"/>
      <c r="J93" s="81"/>
      <c r="L93" s="81"/>
      <c r="N93" s="81"/>
      <c r="O93" s="82"/>
    </row>
    <row r="94" spans="2:15" ht="12.75" customHeight="1" x14ac:dyDescent="0.2">
      <c r="B94" s="81"/>
      <c r="C94" s="81"/>
      <c r="D94" s="81"/>
      <c r="E94" s="81"/>
      <c r="F94" s="81"/>
      <c r="G94" s="81"/>
      <c r="I94" s="81"/>
      <c r="J94" s="81"/>
      <c r="L94" s="81"/>
      <c r="N94" s="81"/>
      <c r="O94" s="82"/>
    </row>
    <row r="95" spans="2:15" ht="12.75" customHeight="1" x14ac:dyDescent="0.2"/>
    <row r="96" spans="2:15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</sheetData>
  <mergeCells count="18">
    <mergeCell ref="L26:M26"/>
    <mergeCell ref="N26:O26"/>
    <mergeCell ref="N27:O27"/>
    <mergeCell ref="L25:M25"/>
    <mergeCell ref="N25:O25"/>
    <mergeCell ref="M24:N24"/>
    <mergeCell ref="C21:D21"/>
    <mergeCell ref="L21:M21"/>
    <mergeCell ref="N21:O21"/>
    <mergeCell ref="L22:M22"/>
    <mergeCell ref="N22:O22"/>
    <mergeCell ref="I21:J21"/>
    <mergeCell ref="B2:T2"/>
    <mergeCell ref="B4:G4"/>
    <mergeCell ref="L4:O4"/>
    <mergeCell ref="I4:J4"/>
    <mergeCell ref="L19:M19"/>
    <mergeCell ref="N19:O19"/>
  </mergeCells>
  <conditionalFormatting sqref="E6:E17">
    <cfRule type="cellIs" dxfId="31" priority="3" operator="lessThan">
      <formula>0</formula>
    </cfRule>
    <cfRule type="cellIs" dxfId="30" priority="4" operator="greaterThan">
      <formula>0</formula>
    </cfRule>
  </conditionalFormatting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D7D4-50FD-40DE-8BBD-8DBEBA6A8D49}">
  <sheetPr>
    <tabColor rgb="FF0070C0"/>
    <pageSetUpPr fitToPage="1"/>
  </sheetPr>
  <dimension ref="A1:W1000"/>
  <sheetViews>
    <sheetView showGridLines="0" tabSelected="1" zoomScale="85" zoomScaleNormal="85" workbookViewId="0">
      <selection activeCell="G22" sqref="G22"/>
    </sheetView>
  </sheetViews>
  <sheetFormatPr defaultColWidth="12.5703125" defaultRowHeight="15" customHeight="1" x14ac:dyDescent="0.2"/>
  <cols>
    <col min="1" max="1" width="13.85546875" style="240" customWidth="1"/>
    <col min="2" max="2" width="31.28515625" bestFit="1" customWidth="1"/>
    <col min="3" max="3" width="18.5703125" customWidth="1"/>
    <col min="4" max="4" width="3.5703125" style="432" customWidth="1"/>
    <col min="5" max="5" width="28" bestFit="1" customWidth="1"/>
    <col min="6" max="6" width="17.42578125" customWidth="1"/>
    <col min="7" max="7" width="22.7109375" bestFit="1" customWidth="1"/>
    <col min="8" max="8" width="3" style="244" customWidth="1"/>
    <col min="9" max="9" width="23.7109375" customWidth="1"/>
    <col min="10" max="10" width="19.42578125" customWidth="1"/>
    <col min="11" max="11" width="3" style="244" customWidth="1"/>
    <col min="12" max="12" width="17.85546875" bestFit="1" customWidth="1"/>
    <col min="13" max="13" width="16.42578125" bestFit="1" customWidth="1"/>
    <col min="14" max="14" width="11.5703125" bestFit="1" customWidth="1"/>
    <col min="15" max="15" width="115" style="240" customWidth="1"/>
    <col min="16" max="23" width="9.140625" customWidth="1"/>
    <col min="24" max="25" width="14.42578125" customWidth="1"/>
  </cols>
  <sheetData>
    <row r="1" spans="1:23" s="240" customFormat="1" ht="15" customHeight="1" thickBot="1" x14ac:dyDescent="0.25">
      <c r="A1" s="286"/>
      <c r="B1" s="295"/>
      <c r="C1" s="286"/>
      <c r="D1" s="430"/>
      <c r="E1" s="286"/>
      <c r="F1" s="286"/>
      <c r="G1" s="297"/>
      <c r="H1" s="296"/>
      <c r="I1" s="286"/>
      <c r="J1" s="286"/>
      <c r="K1" s="29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</row>
    <row r="2" spans="1:23" ht="37.5" customHeight="1" thickBot="1" x14ac:dyDescent="0.25">
      <c r="A2" s="287"/>
      <c r="B2" s="380" t="s">
        <v>199</v>
      </c>
      <c r="C2" s="381"/>
      <c r="D2" s="381"/>
      <c r="E2" s="381"/>
      <c r="F2" s="381"/>
      <c r="G2" s="381"/>
      <c r="H2" s="381"/>
      <c r="I2" s="381"/>
      <c r="J2" s="381"/>
      <c r="K2" s="381"/>
      <c r="L2" s="381"/>
      <c r="M2" s="381"/>
      <c r="N2" s="382"/>
      <c r="O2" s="306"/>
      <c r="P2" s="1"/>
      <c r="Q2" s="1"/>
      <c r="R2" s="1"/>
      <c r="S2" s="1"/>
      <c r="T2" s="1"/>
      <c r="U2" s="1"/>
      <c r="V2" s="1"/>
      <c r="W2" s="1"/>
    </row>
    <row r="3" spans="1:23" s="240" customFormat="1" ht="9" customHeight="1" thickBot="1" x14ac:dyDescent="0.25">
      <c r="A3" s="288"/>
      <c r="B3" s="298"/>
      <c r="C3" s="298"/>
      <c r="D3" s="431"/>
      <c r="E3" s="298"/>
      <c r="F3" s="298"/>
      <c r="G3" s="300"/>
      <c r="H3" s="299"/>
      <c r="I3" s="298"/>
      <c r="J3" s="298"/>
      <c r="K3" s="299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/>
    </row>
    <row r="4" spans="1:23" ht="24.75" customHeight="1" thickBot="1" x14ac:dyDescent="0.3">
      <c r="A4" s="288"/>
      <c r="B4" s="383" t="s">
        <v>59</v>
      </c>
      <c r="C4" s="384"/>
      <c r="E4" s="2" t="s">
        <v>43</v>
      </c>
      <c r="F4" s="2" t="s">
        <v>34</v>
      </c>
      <c r="G4" s="2" t="s">
        <v>127</v>
      </c>
      <c r="I4" s="2" t="s">
        <v>1</v>
      </c>
      <c r="J4" s="310"/>
      <c r="L4" s="385" t="s">
        <v>41</v>
      </c>
      <c r="M4" s="386"/>
      <c r="N4" s="269" t="s">
        <v>61</v>
      </c>
      <c r="Q4" s="71"/>
      <c r="S4" s="4"/>
      <c r="T4" s="4"/>
      <c r="U4" s="4"/>
      <c r="V4" s="4"/>
      <c r="W4" s="4"/>
    </row>
    <row r="5" spans="1:23" ht="23.25" customHeight="1" x14ac:dyDescent="0.2">
      <c r="A5" s="288"/>
      <c r="B5" s="56" t="s">
        <v>62</v>
      </c>
      <c r="C5" s="60">
        <f>3396.69-60</f>
        <v>3336.69</v>
      </c>
      <c r="E5" s="249" t="s">
        <v>63</v>
      </c>
      <c r="F5" s="252">
        <f>SUM(C12:C21)</f>
        <v>975.48</v>
      </c>
      <c r="G5" s="274">
        <f>(F5/C9)*1</f>
        <v>0.18780901039661149</v>
      </c>
      <c r="I5" s="262" t="s">
        <v>9</v>
      </c>
      <c r="J5" s="263">
        <v>32639.79</v>
      </c>
      <c r="L5" s="266">
        <v>3.56E-2</v>
      </c>
      <c r="M5" s="74">
        <v>61.97</v>
      </c>
      <c r="N5" s="75">
        <v>0</v>
      </c>
      <c r="Q5" s="71"/>
      <c r="S5" s="4"/>
      <c r="T5" s="4"/>
      <c r="U5" s="4"/>
      <c r="V5" s="4"/>
      <c r="W5" s="4"/>
    </row>
    <row r="6" spans="1:23" ht="23.25" customHeight="1" x14ac:dyDescent="0.2">
      <c r="A6" s="288"/>
      <c r="B6" s="57" t="s">
        <v>64</v>
      </c>
      <c r="C6" s="61">
        <v>1684.11</v>
      </c>
      <c r="E6" s="250" t="s">
        <v>65</v>
      </c>
      <c r="F6" s="253">
        <f>SUM(F12:F200)</f>
        <v>600.49</v>
      </c>
      <c r="G6" s="275">
        <f>(F6/C9)*1</f>
        <v>0.11561224489795918</v>
      </c>
      <c r="I6" s="264" t="s">
        <v>10</v>
      </c>
      <c r="J6" s="265">
        <v>10065.77</v>
      </c>
      <c r="L6" s="267">
        <v>3.56E-2</v>
      </c>
      <c r="M6" s="76">
        <v>19.11</v>
      </c>
      <c r="N6" s="77">
        <v>0</v>
      </c>
      <c r="Q6" s="71"/>
      <c r="S6" s="4"/>
      <c r="T6" s="4"/>
      <c r="U6" s="4"/>
      <c r="V6" s="4"/>
      <c r="W6" s="4"/>
    </row>
    <row r="7" spans="1:23" ht="23.25" customHeight="1" thickBot="1" x14ac:dyDescent="0.25">
      <c r="A7" s="288"/>
      <c r="B7" s="58" t="s">
        <v>66</v>
      </c>
      <c r="C7" s="62">
        <f>173.2</f>
        <v>173.2</v>
      </c>
      <c r="E7" s="251" t="s">
        <v>67</v>
      </c>
      <c r="F7" s="254">
        <f>SUM(J22:J24)</f>
        <v>0</v>
      </c>
      <c r="G7" s="276">
        <f>(F7/C9)*1</f>
        <v>0</v>
      </c>
      <c r="I7" s="264" t="s">
        <v>11</v>
      </c>
      <c r="J7" s="265">
        <v>5034.38</v>
      </c>
      <c r="L7" s="267">
        <v>5.1200000000000002E-2</v>
      </c>
      <c r="M7" s="76">
        <v>15.85</v>
      </c>
      <c r="N7" s="77">
        <v>0</v>
      </c>
      <c r="Q7" s="71"/>
      <c r="S7" s="4"/>
      <c r="T7" s="4"/>
      <c r="U7" s="4"/>
      <c r="V7" s="4"/>
      <c r="W7" s="4"/>
    </row>
    <row r="8" spans="1:23" ht="23.25" customHeight="1" thickBot="1" x14ac:dyDescent="0.25">
      <c r="A8" s="288"/>
      <c r="B8" s="59" t="s">
        <v>68</v>
      </c>
      <c r="C8" s="63">
        <v>0</v>
      </c>
      <c r="E8" s="258" t="s">
        <v>7</v>
      </c>
      <c r="F8" s="255">
        <f>(C9-(F5+F6))</f>
        <v>3618.0299999999997</v>
      </c>
      <c r="G8" s="273" t="s">
        <v>130</v>
      </c>
      <c r="I8" s="264" t="s">
        <v>205</v>
      </c>
      <c r="J8" s="265">
        <v>300</v>
      </c>
      <c r="L8" s="268">
        <v>4.3299999999999998E-2</v>
      </c>
      <c r="M8" s="78">
        <v>0.55000000000000004</v>
      </c>
      <c r="N8" s="79">
        <v>0</v>
      </c>
      <c r="S8" s="4"/>
      <c r="T8" s="4"/>
      <c r="U8" s="4"/>
      <c r="V8" s="4"/>
      <c r="W8" s="4"/>
    </row>
    <row r="9" spans="1:23" ht="26.25" customHeight="1" thickBot="1" x14ac:dyDescent="0.25">
      <c r="A9" s="288"/>
      <c r="B9" s="256" t="s">
        <v>126</v>
      </c>
      <c r="C9" s="257">
        <f>SUM(C5:C8)</f>
        <v>5194</v>
      </c>
      <c r="E9" s="271" t="s">
        <v>92</v>
      </c>
      <c r="F9" s="272">
        <f>G9-F8</f>
        <v>204.87000000000035</v>
      </c>
      <c r="G9" s="270">
        <f>89.65+0.01+3983.61-C19-C18-C17-C15-C13</f>
        <v>3822.9</v>
      </c>
      <c r="I9" s="259" t="s">
        <v>7</v>
      </c>
      <c r="J9" s="260">
        <f>SUM(J5:J8)</f>
        <v>48039.939999999995</v>
      </c>
      <c r="L9" s="50" t="s">
        <v>34</v>
      </c>
      <c r="M9" s="73">
        <f>SUM(M5:M8)</f>
        <v>97.47999999999999</v>
      </c>
      <c r="N9" s="80">
        <f>SUM(N5:N8)</f>
        <v>0</v>
      </c>
      <c r="S9" s="4"/>
      <c r="T9" s="4"/>
      <c r="U9" s="4"/>
      <c r="V9" s="4"/>
      <c r="W9" s="4"/>
    </row>
    <row r="10" spans="1:23" s="240" customFormat="1" ht="9" customHeight="1" thickBot="1" x14ac:dyDescent="0.25">
      <c r="A10" s="288"/>
      <c r="B10" s="301"/>
      <c r="C10" s="301"/>
      <c r="D10" s="432"/>
      <c r="E10" s="298"/>
      <c r="F10" s="298"/>
      <c r="G10" s="300"/>
      <c r="H10" s="244"/>
      <c r="I10" s="298"/>
      <c r="J10" s="298"/>
      <c r="K10" s="244"/>
      <c r="L10" s="298"/>
      <c r="M10" s="298"/>
      <c r="N10" s="298"/>
      <c r="O10" s="298"/>
      <c r="P10" s="298"/>
      <c r="Q10" s="298"/>
      <c r="R10" s="298"/>
      <c r="S10" s="298"/>
      <c r="T10" s="298"/>
      <c r="U10" s="298"/>
      <c r="V10" s="298"/>
      <c r="W10" s="298"/>
    </row>
    <row r="11" spans="1:23" ht="22.5" customHeight="1" thickBot="1" x14ac:dyDescent="0.25">
      <c r="A11" s="289"/>
      <c r="B11" s="261" t="s">
        <v>70</v>
      </c>
      <c r="C11" s="53" t="s">
        <v>71</v>
      </c>
      <c r="D11" s="433" t="s">
        <v>131</v>
      </c>
      <c r="E11" s="333" t="s">
        <v>72</v>
      </c>
      <c r="F11" s="334" t="s">
        <v>71</v>
      </c>
      <c r="G11" s="335" t="s">
        <v>73</v>
      </c>
      <c r="H11" s="248"/>
      <c r="I11" s="387" t="s">
        <v>3</v>
      </c>
      <c r="J11" s="388"/>
      <c r="K11" s="248"/>
      <c r="L11" s="377" t="s">
        <v>74</v>
      </c>
      <c r="M11" s="378"/>
      <c r="N11" s="379"/>
      <c r="O11" s="307"/>
      <c r="P11" s="4"/>
      <c r="Q11" s="4"/>
      <c r="R11" s="4"/>
      <c r="S11" s="4"/>
      <c r="T11" s="4"/>
      <c r="U11" s="4"/>
      <c r="V11" s="4"/>
      <c r="W11" s="4"/>
    </row>
    <row r="12" spans="1:23" s="278" customFormat="1" ht="22.5" customHeight="1" x14ac:dyDescent="0.2">
      <c r="A12" s="290">
        <v>1</v>
      </c>
      <c r="B12" s="37" t="s">
        <v>12</v>
      </c>
      <c r="C12" s="349">
        <v>708.05</v>
      </c>
      <c r="D12" s="135">
        <v>2</v>
      </c>
      <c r="E12" s="199" t="s">
        <v>160</v>
      </c>
      <c r="F12" s="200">
        <v>44.68</v>
      </c>
      <c r="G12" s="201" t="s">
        <v>18</v>
      </c>
      <c r="H12" s="302"/>
      <c r="I12" s="323" t="s">
        <v>13</v>
      </c>
      <c r="J12" s="324">
        <f>SUMIF(G:G, "Groceries", F:F)</f>
        <v>0</v>
      </c>
      <c r="K12" s="302"/>
      <c r="L12" s="108" t="s">
        <v>81</v>
      </c>
      <c r="M12" s="109" t="s">
        <v>84</v>
      </c>
      <c r="N12" s="110" t="s">
        <v>85</v>
      </c>
      <c r="O12" s="308"/>
      <c r="P12" s="277"/>
      <c r="Q12" s="277"/>
      <c r="R12" s="277"/>
      <c r="S12" s="277"/>
      <c r="T12" s="277"/>
      <c r="U12" s="277"/>
      <c r="V12" s="277"/>
      <c r="W12" s="277"/>
    </row>
    <row r="13" spans="1:23" s="278" customFormat="1" ht="22.5" customHeight="1" x14ac:dyDescent="0.2">
      <c r="A13" s="290">
        <v>3</v>
      </c>
      <c r="B13" s="38" t="s">
        <v>138</v>
      </c>
      <c r="C13" s="437">
        <v>15.1</v>
      </c>
      <c r="D13" s="135">
        <v>2</v>
      </c>
      <c r="E13" s="180" t="s">
        <v>159</v>
      </c>
      <c r="F13" s="202">
        <v>31.5</v>
      </c>
      <c r="G13" s="203" t="s">
        <v>18</v>
      </c>
      <c r="H13" s="302"/>
      <c r="I13" s="325" t="s">
        <v>128</v>
      </c>
      <c r="J13" s="326">
        <f>SUMIF(G:G, "Leisure / Days out", F:F)</f>
        <v>0</v>
      </c>
      <c r="K13" s="302"/>
      <c r="L13" s="108" t="s">
        <v>82</v>
      </c>
      <c r="M13" s="111">
        <v>1.1599999999999999</v>
      </c>
      <c r="N13" s="112">
        <v>1.1599999999999999</v>
      </c>
      <c r="O13" s="308"/>
      <c r="P13" s="277"/>
      <c r="Q13" s="277"/>
      <c r="R13" s="277"/>
      <c r="S13" s="277"/>
      <c r="T13" s="277"/>
      <c r="U13" s="277"/>
      <c r="V13" s="277"/>
      <c r="W13" s="277"/>
    </row>
    <row r="14" spans="1:23" s="278" customFormat="1" ht="22.5" customHeight="1" thickBot="1" x14ac:dyDescent="0.25">
      <c r="A14" s="290">
        <v>3</v>
      </c>
      <c r="B14" s="40" t="s">
        <v>139</v>
      </c>
      <c r="C14" s="350">
        <v>17.059999999999999</v>
      </c>
      <c r="D14" s="135">
        <v>2</v>
      </c>
      <c r="E14" s="179" t="s">
        <v>230</v>
      </c>
      <c r="F14" s="204">
        <v>2</v>
      </c>
      <c r="G14" s="205" t="s">
        <v>18</v>
      </c>
      <c r="H14" s="302"/>
      <c r="I14" s="325" t="s">
        <v>18</v>
      </c>
      <c r="J14" s="326">
        <f>SUMIF(G:G, "Others (Not essential)", F:F)</f>
        <v>240.28000000000003</v>
      </c>
      <c r="K14" s="302"/>
      <c r="L14" s="113" t="s">
        <v>83</v>
      </c>
      <c r="M14" s="144">
        <v>5</v>
      </c>
      <c r="N14" s="115">
        <v>5.12</v>
      </c>
      <c r="O14" s="308"/>
      <c r="P14" s="277"/>
      <c r="Q14" s="277"/>
      <c r="R14" s="277"/>
      <c r="S14" s="277"/>
      <c r="T14" s="277"/>
      <c r="U14" s="277"/>
      <c r="V14" s="277"/>
      <c r="W14" s="277"/>
    </row>
    <row r="15" spans="1:23" s="278" customFormat="1" ht="22.5" customHeight="1" thickBot="1" x14ac:dyDescent="0.25">
      <c r="A15" s="290">
        <v>7</v>
      </c>
      <c r="B15" s="38" t="s">
        <v>136</v>
      </c>
      <c r="C15" s="437">
        <v>115.33</v>
      </c>
      <c r="D15" s="135">
        <v>2</v>
      </c>
      <c r="E15" s="180" t="s">
        <v>230</v>
      </c>
      <c r="F15" s="202">
        <v>2</v>
      </c>
      <c r="G15" s="203" t="s">
        <v>18</v>
      </c>
      <c r="H15" s="302"/>
      <c r="I15" s="325" t="s">
        <v>20</v>
      </c>
      <c r="J15" s="326">
        <f>SUMIF(G:G, "Others (Essential)", F:F)</f>
        <v>0</v>
      </c>
      <c r="K15" s="302"/>
      <c r="L15" s="246"/>
      <c r="M15" s="246"/>
      <c r="N15" s="308"/>
      <c r="O15" s="308"/>
      <c r="P15" s="277"/>
      <c r="Q15" s="277"/>
      <c r="R15" s="277"/>
      <c r="S15" s="277"/>
      <c r="T15" s="277"/>
      <c r="U15" s="277"/>
      <c r="V15" s="277"/>
      <c r="W15" s="277"/>
    </row>
    <row r="16" spans="1:23" s="278" customFormat="1" ht="22.5" customHeight="1" x14ac:dyDescent="0.2">
      <c r="A16" s="291">
        <v>11</v>
      </c>
      <c r="B16" s="40" t="s">
        <v>135</v>
      </c>
      <c r="C16" s="363">
        <v>0</v>
      </c>
      <c r="D16" s="364">
        <v>2</v>
      </c>
      <c r="E16" s="179" t="s">
        <v>165</v>
      </c>
      <c r="F16" s="204">
        <v>28</v>
      </c>
      <c r="G16" s="205" t="s">
        <v>18</v>
      </c>
      <c r="H16" s="302"/>
      <c r="I16" s="325" t="s">
        <v>22</v>
      </c>
      <c r="J16" s="326">
        <f>SUMIF(G:G, "Holidays", F:F)</f>
        <v>0</v>
      </c>
      <c r="K16" s="302"/>
      <c r="L16" s="377" t="s">
        <v>129</v>
      </c>
      <c r="M16" s="378"/>
      <c r="N16" s="379"/>
      <c r="O16" s="308"/>
      <c r="P16" s="277"/>
      <c r="Q16" s="277"/>
      <c r="R16" s="277"/>
      <c r="S16" s="277"/>
      <c r="T16" s="277"/>
      <c r="U16" s="277"/>
      <c r="V16" s="277"/>
      <c r="W16" s="277"/>
    </row>
    <row r="17" spans="1:23" s="278" customFormat="1" ht="22.5" customHeight="1" x14ac:dyDescent="0.2">
      <c r="A17" s="290">
        <v>17</v>
      </c>
      <c r="B17" s="38" t="s">
        <v>31</v>
      </c>
      <c r="C17" s="437">
        <v>21.94</v>
      </c>
      <c r="D17" s="135">
        <v>2</v>
      </c>
      <c r="E17" s="180" t="s">
        <v>218</v>
      </c>
      <c r="F17" s="202">
        <v>3.55</v>
      </c>
      <c r="G17" s="203" t="s">
        <v>18</v>
      </c>
      <c r="H17" s="302"/>
      <c r="I17" s="325" t="s">
        <v>25</v>
      </c>
      <c r="J17" s="326">
        <f>SUMIF(G:G, "Clothing", F:F)</f>
        <v>0</v>
      </c>
      <c r="K17" s="302"/>
      <c r="L17" s="108" t="s">
        <v>81</v>
      </c>
      <c r="M17" s="109" t="s">
        <v>84</v>
      </c>
      <c r="N17" s="110" t="s">
        <v>85</v>
      </c>
      <c r="O17" s="308"/>
      <c r="P17" s="277"/>
      <c r="Q17" s="277"/>
      <c r="R17" s="277"/>
      <c r="S17" s="277"/>
      <c r="T17" s="277"/>
      <c r="U17" s="277"/>
      <c r="V17" s="277"/>
      <c r="W17" s="277"/>
    </row>
    <row r="18" spans="1:23" s="278" customFormat="1" ht="22.5" customHeight="1" x14ac:dyDescent="0.2">
      <c r="A18" s="290">
        <v>22</v>
      </c>
      <c r="B18" s="40" t="s">
        <v>137</v>
      </c>
      <c r="C18" s="363">
        <v>66</v>
      </c>
      <c r="D18" s="135">
        <v>2</v>
      </c>
      <c r="E18" s="179" t="s">
        <v>231</v>
      </c>
      <c r="F18" s="204">
        <v>24</v>
      </c>
      <c r="G18" s="205" t="s">
        <v>18</v>
      </c>
      <c r="H18" s="302"/>
      <c r="I18" s="325" t="s">
        <v>1</v>
      </c>
      <c r="J18" s="326">
        <f>SUMIF(G:G, "Savings", F:F)</f>
        <v>360.21</v>
      </c>
      <c r="K18" s="302"/>
      <c r="L18" s="108" t="s">
        <v>87</v>
      </c>
      <c r="M18" s="145">
        <v>3.5</v>
      </c>
      <c r="N18" s="112">
        <v>3.56</v>
      </c>
      <c r="O18" s="308"/>
      <c r="P18" s="277"/>
      <c r="Q18" s="277"/>
      <c r="R18" s="277"/>
      <c r="S18" s="277"/>
      <c r="T18" s="277"/>
      <c r="U18" s="277"/>
      <c r="V18" s="277"/>
      <c r="W18" s="277"/>
    </row>
    <row r="19" spans="1:23" s="278" customFormat="1" ht="22.5" customHeight="1" thickBot="1" x14ac:dyDescent="0.25">
      <c r="A19" s="290">
        <v>24</v>
      </c>
      <c r="B19" s="38" t="s">
        <v>33</v>
      </c>
      <c r="C19" s="359">
        <v>32</v>
      </c>
      <c r="D19" s="135">
        <v>2</v>
      </c>
      <c r="E19" s="180" t="s">
        <v>232</v>
      </c>
      <c r="F19" s="202">
        <v>34.409999999999997</v>
      </c>
      <c r="G19" s="203" t="s">
        <v>18</v>
      </c>
      <c r="H19" s="302"/>
      <c r="I19" s="327" t="s">
        <v>29</v>
      </c>
      <c r="J19" s="328">
        <f>SUMIF(G:G, "Overpayment", F:F)</f>
        <v>0</v>
      </c>
      <c r="K19" s="302"/>
      <c r="L19" s="113" t="s">
        <v>88</v>
      </c>
      <c r="M19" s="114">
        <v>1.1499999999999999</v>
      </c>
      <c r="N19" s="115">
        <v>1.1599999999999999</v>
      </c>
      <c r="O19" s="308"/>
      <c r="P19" s="277"/>
      <c r="Q19" s="277"/>
      <c r="R19" s="277"/>
      <c r="S19" s="277"/>
      <c r="T19" s="277"/>
      <c r="U19" s="277"/>
      <c r="V19" s="277"/>
      <c r="W19" s="277"/>
    </row>
    <row r="20" spans="1:23" s="278" customFormat="1" ht="22.5" customHeight="1" thickBot="1" x14ac:dyDescent="0.25">
      <c r="A20" s="291"/>
      <c r="B20" s="40"/>
      <c r="C20" s="41"/>
      <c r="D20" s="434">
        <v>1</v>
      </c>
      <c r="E20" s="179" t="s">
        <v>192</v>
      </c>
      <c r="F20" s="204">
        <v>34.99</v>
      </c>
      <c r="G20" s="205" t="s">
        <v>18</v>
      </c>
      <c r="H20" s="302"/>
      <c r="I20" s="308"/>
      <c r="J20" s="308"/>
      <c r="K20" s="302"/>
      <c r="L20" s="308"/>
      <c r="M20" s="308"/>
      <c r="N20" s="308"/>
      <c r="O20" s="308"/>
      <c r="P20" s="277"/>
      <c r="Q20" s="277"/>
      <c r="R20" s="277"/>
      <c r="S20" s="277"/>
      <c r="T20" s="277"/>
      <c r="U20" s="277"/>
      <c r="V20" s="277"/>
      <c r="W20" s="277"/>
    </row>
    <row r="21" spans="1:23" s="278" customFormat="1" ht="22.5" customHeight="1" thickBot="1" x14ac:dyDescent="0.25">
      <c r="A21" s="292"/>
      <c r="B21" s="38"/>
      <c r="C21" s="39"/>
      <c r="D21" s="434">
        <v>1</v>
      </c>
      <c r="E21" s="180" t="s">
        <v>144</v>
      </c>
      <c r="F21" s="202">
        <v>35.15</v>
      </c>
      <c r="G21" s="203" t="s">
        <v>18</v>
      </c>
      <c r="H21" s="302"/>
      <c r="I21" s="389" t="s">
        <v>89</v>
      </c>
      <c r="J21" s="390"/>
      <c r="K21" s="302"/>
      <c r="L21" s="377" t="s">
        <v>86</v>
      </c>
      <c r="M21" s="378"/>
      <c r="N21" s="379"/>
      <c r="O21" s="308"/>
      <c r="P21" s="277"/>
      <c r="Q21" s="277"/>
      <c r="R21" s="277"/>
      <c r="S21" s="277"/>
      <c r="T21" s="277"/>
      <c r="U21" s="277"/>
      <c r="V21" s="277"/>
      <c r="W21" s="277"/>
    </row>
    <row r="22" spans="1:23" s="278" customFormat="1" ht="22.5" customHeight="1" x14ac:dyDescent="0.2">
      <c r="A22" s="292"/>
      <c r="B22" s="40"/>
      <c r="C22" s="41"/>
      <c r="D22" s="434">
        <v>2</v>
      </c>
      <c r="E22" s="179" t="s">
        <v>239</v>
      </c>
      <c r="F22" s="204">
        <v>360.21</v>
      </c>
      <c r="G22" s="205" t="s">
        <v>1</v>
      </c>
      <c r="H22" s="302"/>
      <c r="I22" s="279"/>
      <c r="J22" s="280"/>
      <c r="K22" s="302"/>
      <c r="L22" s="108" t="s">
        <v>81</v>
      </c>
      <c r="M22" s="109" t="s">
        <v>84</v>
      </c>
      <c r="N22" s="110" t="s">
        <v>85</v>
      </c>
      <c r="O22" s="308"/>
      <c r="P22" s="277"/>
      <c r="Q22" s="277"/>
      <c r="R22" s="277"/>
      <c r="S22" s="277"/>
      <c r="T22" s="277"/>
      <c r="U22" s="277"/>
      <c r="V22" s="277"/>
      <c r="W22" s="277"/>
    </row>
    <row r="23" spans="1:23" s="278" customFormat="1" ht="22.5" customHeight="1" thickBot="1" x14ac:dyDescent="0.25">
      <c r="A23" s="292"/>
      <c r="B23" s="42"/>
      <c r="C23" s="43"/>
      <c r="D23" s="434"/>
      <c r="E23" s="180"/>
      <c r="F23" s="202"/>
      <c r="G23" s="203"/>
      <c r="H23" s="302"/>
      <c r="I23" s="281"/>
      <c r="J23" s="282"/>
      <c r="K23" s="302"/>
      <c r="L23" s="108" t="s">
        <v>87</v>
      </c>
      <c r="M23" s="145">
        <v>3.5</v>
      </c>
      <c r="N23" s="112">
        <v>3.56</v>
      </c>
      <c r="O23" s="308"/>
      <c r="P23" s="277"/>
      <c r="Q23" s="277"/>
      <c r="R23" s="277"/>
      <c r="S23" s="277"/>
      <c r="T23" s="277"/>
      <c r="U23" s="277"/>
      <c r="V23" s="277"/>
      <c r="W23" s="277"/>
    </row>
    <row r="24" spans="1:23" s="278" customFormat="1" ht="22.5" customHeight="1" thickBot="1" x14ac:dyDescent="0.25">
      <c r="A24" s="292"/>
      <c r="B24" s="311"/>
      <c r="C24" s="317" t="s">
        <v>60</v>
      </c>
      <c r="D24" s="434"/>
      <c r="E24" s="179"/>
      <c r="F24" s="204"/>
      <c r="G24" s="205"/>
      <c r="H24" s="302"/>
      <c r="I24" s="283"/>
      <c r="J24" s="284"/>
      <c r="K24" s="302"/>
      <c r="L24" s="113" t="s">
        <v>88</v>
      </c>
      <c r="M24" s="114">
        <v>1.1499999999999999</v>
      </c>
      <c r="N24" s="115">
        <v>1.1599999999999999</v>
      </c>
      <c r="O24" s="308"/>
      <c r="P24" s="277"/>
      <c r="Q24" s="277"/>
      <c r="R24" s="277"/>
      <c r="S24" s="277"/>
      <c r="T24" s="277"/>
      <c r="U24" s="277"/>
      <c r="V24" s="277"/>
      <c r="W24" s="277"/>
    </row>
    <row r="25" spans="1:23" s="278" customFormat="1" ht="22.5" customHeight="1" thickBot="1" x14ac:dyDescent="0.25">
      <c r="A25" s="293"/>
      <c r="B25" s="317" t="s">
        <v>132</v>
      </c>
      <c r="C25" s="319">
        <v>1500</v>
      </c>
      <c r="D25" s="434"/>
      <c r="E25" s="180"/>
      <c r="F25" s="202"/>
      <c r="G25" s="203"/>
      <c r="H25" s="302"/>
      <c r="I25" s="246"/>
      <c r="J25" s="246"/>
      <c r="K25" s="302"/>
      <c r="L25" s="246"/>
      <c r="M25" s="246"/>
      <c r="N25" s="246"/>
      <c r="O25" s="308"/>
      <c r="P25" s="277"/>
      <c r="Q25" s="277"/>
      <c r="R25" s="277"/>
      <c r="S25" s="277"/>
      <c r="T25" s="277"/>
      <c r="U25" s="277"/>
      <c r="V25" s="277"/>
      <c r="W25" s="277"/>
    </row>
    <row r="26" spans="1:23" s="278" customFormat="1" ht="22.5" customHeight="1" thickBot="1" x14ac:dyDescent="0.25">
      <c r="A26" s="294"/>
      <c r="B26" s="318" t="s">
        <v>133</v>
      </c>
      <c r="C26" s="320">
        <v>1500</v>
      </c>
      <c r="D26" s="434"/>
      <c r="E26" s="179"/>
      <c r="F26" s="204"/>
      <c r="G26" s="205"/>
      <c r="H26" s="302"/>
      <c r="I26" s="389" t="s">
        <v>95</v>
      </c>
      <c r="J26" s="390"/>
      <c r="K26" s="302"/>
      <c r="L26" s="377" t="s">
        <v>182</v>
      </c>
      <c r="M26" s="378"/>
      <c r="N26" s="379"/>
      <c r="O26" s="308"/>
      <c r="P26" s="277"/>
      <c r="Q26" s="277"/>
      <c r="R26" s="277"/>
      <c r="S26" s="277"/>
      <c r="T26" s="277"/>
      <c r="U26" s="277"/>
      <c r="V26" s="277"/>
      <c r="W26" s="277"/>
    </row>
    <row r="27" spans="1:23" s="278" customFormat="1" ht="22.5" customHeight="1" thickBot="1" x14ac:dyDescent="0.25">
      <c r="A27" s="246"/>
      <c r="B27" s="317" t="s">
        <v>134</v>
      </c>
      <c r="C27" s="319">
        <v>848</v>
      </c>
      <c r="D27" s="434"/>
      <c r="E27" s="180"/>
      <c r="F27" s="202"/>
      <c r="G27" s="203"/>
      <c r="H27" s="302"/>
      <c r="I27" s="279"/>
      <c r="J27" s="280"/>
      <c r="K27" s="302"/>
      <c r="L27" s="391">
        <v>4.3299999999999998E-2</v>
      </c>
      <c r="M27" s="392"/>
      <c r="N27" s="393"/>
      <c r="O27" s="309"/>
      <c r="P27" s="285"/>
      <c r="Q27" s="285"/>
      <c r="R27" s="285"/>
      <c r="S27" s="285"/>
      <c r="T27" s="285"/>
      <c r="U27" s="285"/>
      <c r="V27" s="285"/>
      <c r="W27" s="285"/>
    </row>
    <row r="28" spans="1:23" s="278" customFormat="1" ht="22.5" customHeight="1" x14ac:dyDescent="0.2">
      <c r="A28" s="246"/>
      <c r="B28" s="246"/>
      <c r="C28" s="246"/>
      <c r="D28" s="434"/>
      <c r="E28" s="179"/>
      <c r="F28" s="204"/>
      <c r="G28" s="205"/>
      <c r="H28" s="302"/>
      <c r="I28" s="281"/>
      <c r="J28" s="282"/>
      <c r="K28" s="302"/>
      <c r="L28" s="240"/>
      <c r="M28" s="240"/>
      <c r="N28" s="240"/>
      <c r="O28" s="240"/>
      <c r="P28" s="285"/>
      <c r="Q28" s="285"/>
      <c r="R28" s="285"/>
      <c r="S28" s="285"/>
      <c r="T28" s="285"/>
      <c r="U28" s="285"/>
      <c r="V28" s="285"/>
      <c r="W28" s="285"/>
    </row>
    <row r="29" spans="1:23" s="278" customFormat="1" ht="22.5" customHeight="1" thickBot="1" x14ac:dyDescent="0.25">
      <c r="A29" s="294"/>
      <c r="B29" s="246"/>
      <c r="C29" s="246"/>
      <c r="D29" s="434"/>
      <c r="E29" s="180"/>
      <c r="F29" s="202"/>
      <c r="G29" s="203"/>
      <c r="H29" s="302"/>
      <c r="I29" s="283"/>
      <c r="J29" s="284"/>
      <c r="K29" s="302"/>
      <c r="L29" s="240"/>
      <c r="M29" s="240"/>
      <c r="N29" s="240"/>
      <c r="O29" s="240"/>
      <c r="P29" s="285"/>
      <c r="Q29" s="285"/>
      <c r="R29" s="285"/>
      <c r="S29" s="285"/>
      <c r="T29" s="285"/>
      <c r="U29" s="285"/>
      <c r="V29" s="285"/>
      <c r="W29" s="285"/>
    </row>
    <row r="30" spans="1:23" s="278" customFormat="1" ht="22.5" customHeight="1" x14ac:dyDescent="0.2">
      <c r="A30" s="294"/>
      <c r="B30" s="246"/>
      <c r="C30" s="246"/>
      <c r="D30" s="434"/>
      <c r="E30" s="179"/>
      <c r="F30" s="204"/>
      <c r="G30" s="205"/>
      <c r="H30" s="302"/>
      <c r="I30" s="246"/>
      <c r="J30" s="246"/>
      <c r="K30" s="302"/>
      <c r="L30" s="240"/>
      <c r="M30" s="240"/>
      <c r="N30" s="240"/>
      <c r="O30" s="240"/>
      <c r="P30" s="285"/>
      <c r="Q30" s="285"/>
      <c r="R30" s="285"/>
      <c r="S30" s="285"/>
      <c r="T30" s="285"/>
      <c r="U30" s="285"/>
      <c r="V30" s="285"/>
      <c r="W30" s="285"/>
    </row>
    <row r="31" spans="1:23" s="278" customFormat="1" ht="22.5" customHeight="1" x14ac:dyDescent="0.2">
      <c r="A31" s="294"/>
      <c r="B31" s="312"/>
      <c r="C31" s="313"/>
      <c r="D31" s="434"/>
      <c r="E31" s="180"/>
      <c r="F31" s="202"/>
      <c r="G31" s="203"/>
      <c r="H31" s="302"/>
      <c r="I31" s="246"/>
      <c r="J31" s="246"/>
      <c r="K31" s="302"/>
      <c r="L31" s="309"/>
      <c r="M31" s="309"/>
      <c r="N31" s="309"/>
      <c r="O31" s="309"/>
      <c r="P31" s="285"/>
      <c r="Q31" s="285"/>
      <c r="R31" s="285"/>
      <c r="S31" s="285"/>
      <c r="T31" s="285"/>
      <c r="U31" s="285"/>
      <c r="V31" s="285"/>
      <c r="W31" s="285"/>
    </row>
    <row r="32" spans="1:23" s="278" customFormat="1" ht="22.5" customHeight="1" x14ac:dyDescent="0.2">
      <c r="A32" s="294"/>
      <c r="B32" s="312"/>
      <c r="C32" s="314"/>
      <c r="D32" s="434"/>
      <c r="E32" s="179"/>
      <c r="F32" s="204"/>
      <c r="G32" s="205"/>
      <c r="H32" s="302"/>
      <c r="I32" s="246"/>
      <c r="J32" s="246"/>
      <c r="K32" s="302"/>
      <c r="L32" s="309"/>
      <c r="M32" s="309"/>
      <c r="N32" s="309"/>
      <c r="O32" s="309"/>
      <c r="P32" s="285"/>
      <c r="Q32" s="285"/>
      <c r="R32" s="285"/>
      <c r="S32" s="285"/>
      <c r="T32" s="285"/>
      <c r="U32" s="285"/>
      <c r="V32" s="285"/>
      <c r="W32" s="285"/>
    </row>
    <row r="33" spans="1:23" s="278" customFormat="1" ht="22.5" customHeight="1" x14ac:dyDescent="0.2">
      <c r="A33" s="294"/>
      <c r="B33" s="246"/>
      <c r="C33" s="315"/>
      <c r="D33" s="434"/>
      <c r="E33" s="180"/>
      <c r="F33" s="202"/>
      <c r="G33" s="203"/>
      <c r="H33" s="302"/>
      <c r="I33" s="246"/>
      <c r="J33" s="246"/>
      <c r="K33" s="302"/>
      <c r="L33" s="309"/>
      <c r="M33" s="309"/>
      <c r="N33" s="309"/>
      <c r="O33" s="309"/>
      <c r="P33" s="285"/>
      <c r="Q33" s="285"/>
      <c r="R33" s="285"/>
      <c r="S33" s="285"/>
      <c r="T33" s="285"/>
      <c r="U33" s="285"/>
      <c r="V33" s="285"/>
      <c r="W33" s="285"/>
    </row>
    <row r="34" spans="1:23" s="278" customFormat="1" ht="22.5" customHeight="1" x14ac:dyDescent="0.2">
      <c r="A34" s="294"/>
      <c r="B34" s="309"/>
      <c r="C34" s="309"/>
      <c r="D34" s="434"/>
      <c r="E34" s="179"/>
      <c r="F34" s="204"/>
      <c r="G34" s="205"/>
      <c r="H34" s="302"/>
      <c r="I34" s="246"/>
      <c r="J34" s="246"/>
      <c r="K34" s="302"/>
      <c r="L34" s="309"/>
      <c r="M34" s="309"/>
      <c r="N34" s="309"/>
      <c r="O34" s="309"/>
      <c r="P34" s="285"/>
      <c r="Q34" s="285"/>
      <c r="R34" s="285"/>
      <c r="S34" s="285"/>
      <c r="T34" s="285"/>
      <c r="U34" s="285"/>
      <c r="V34" s="285"/>
      <c r="W34" s="285"/>
    </row>
    <row r="35" spans="1:23" s="278" customFormat="1" ht="22.5" customHeight="1" x14ac:dyDescent="0.2">
      <c r="A35" s="294"/>
      <c r="B35" s="309"/>
      <c r="C35" s="309"/>
      <c r="D35" s="434"/>
      <c r="E35" s="180"/>
      <c r="F35" s="202"/>
      <c r="G35" s="203"/>
      <c r="H35" s="302"/>
      <c r="I35" s="246"/>
      <c r="J35" s="246"/>
      <c r="K35" s="302"/>
      <c r="L35" s="309"/>
      <c r="M35" s="309"/>
      <c r="N35" s="309"/>
      <c r="O35" s="309"/>
      <c r="P35" s="285"/>
      <c r="Q35" s="285"/>
      <c r="R35" s="285"/>
      <c r="S35" s="285"/>
      <c r="T35" s="285"/>
      <c r="U35" s="285"/>
      <c r="V35" s="285"/>
      <c r="W35" s="285"/>
    </row>
    <row r="36" spans="1:23" s="278" customFormat="1" ht="22.5" customHeight="1" x14ac:dyDescent="0.2">
      <c r="A36" s="294"/>
      <c r="B36" s="309"/>
      <c r="C36" s="309"/>
      <c r="D36" s="434"/>
      <c r="E36" s="179"/>
      <c r="F36" s="204"/>
      <c r="G36" s="205"/>
      <c r="H36" s="302"/>
      <c r="I36" s="246"/>
      <c r="J36" s="246"/>
      <c r="K36" s="302"/>
      <c r="L36" s="309"/>
      <c r="M36" s="309"/>
      <c r="N36" s="309"/>
      <c r="O36" s="309"/>
      <c r="P36" s="285"/>
      <c r="Q36" s="285"/>
      <c r="R36" s="285"/>
      <c r="S36" s="285"/>
      <c r="T36" s="285"/>
      <c r="U36" s="285"/>
      <c r="V36" s="285"/>
      <c r="W36" s="285"/>
    </row>
    <row r="37" spans="1:23" s="278" customFormat="1" ht="22.5" customHeight="1" x14ac:dyDescent="0.2">
      <c r="A37" s="294"/>
      <c r="B37" s="309"/>
      <c r="C37" s="309"/>
      <c r="D37" s="434"/>
      <c r="E37" s="180"/>
      <c r="F37" s="202"/>
      <c r="G37" s="203"/>
      <c r="H37" s="302"/>
      <c r="I37" s="246"/>
      <c r="J37" s="246"/>
      <c r="K37" s="302"/>
      <c r="L37" s="309"/>
      <c r="M37" s="309"/>
      <c r="N37" s="309"/>
      <c r="O37" s="309"/>
      <c r="P37" s="285"/>
      <c r="Q37" s="285"/>
      <c r="R37" s="285"/>
      <c r="S37" s="285"/>
      <c r="T37" s="285"/>
      <c r="U37" s="285"/>
      <c r="V37" s="285"/>
      <c r="W37" s="285"/>
    </row>
    <row r="38" spans="1:23" s="278" customFormat="1" ht="22.5" customHeight="1" x14ac:dyDescent="0.2">
      <c r="A38" s="294"/>
      <c r="B38" s="309"/>
      <c r="C38" s="309"/>
      <c r="D38" s="434"/>
      <c r="E38" s="179"/>
      <c r="F38" s="204"/>
      <c r="G38" s="205"/>
      <c r="H38" s="302"/>
      <c r="I38" s="246"/>
      <c r="J38" s="246"/>
      <c r="K38" s="302"/>
      <c r="L38" s="309"/>
      <c r="M38" s="309"/>
      <c r="N38" s="309"/>
      <c r="O38" s="309"/>
      <c r="P38" s="285"/>
      <c r="Q38" s="285"/>
      <c r="R38" s="285"/>
      <c r="S38" s="285"/>
      <c r="T38" s="285"/>
      <c r="U38" s="285"/>
      <c r="V38" s="285"/>
      <c r="W38" s="285"/>
    </row>
    <row r="39" spans="1:23" s="278" customFormat="1" ht="22.5" customHeight="1" x14ac:dyDescent="0.2">
      <c r="A39" s="294"/>
      <c r="B39" s="309"/>
      <c r="C39" s="309"/>
      <c r="D39" s="434"/>
      <c r="E39" s="180"/>
      <c r="F39" s="202"/>
      <c r="G39" s="203"/>
      <c r="H39" s="302"/>
      <c r="I39" s="246"/>
      <c r="J39" s="246"/>
      <c r="K39" s="302"/>
      <c r="L39" s="309"/>
      <c r="M39" s="309"/>
      <c r="N39" s="309"/>
      <c r="O39" s="309"/>
      <c r="P39" s="285"/>
      <c r="Q39" s="285"/>
      <c r="R39" s="285"/>
      <c r="S39" s="285"/>
      <c r="T39" s="285"/>
      <c r="U39" s="285"/>
      <c r="V39" s="285"/>
      <c r="W39" s="285"/>
    </row>
    <row r="40" spans="1:23" s="278" customFormat="1" ht="22.5" customHeight="1" x14ac:dyDescent="0.2">
      <c r="A40" s="294"/>
      <c r="B40" s="309"/>
      <c r="C40" s="309"/>
      <c r="D40" s="434"/>
      <c r="E40" s="179"/>
      <c r="F40" s="204"/>
      <c r="G40" s="205"/>
      <c r="H40" s="302"/>
      <c r="I40" s="246"/>
      <c r="J40" s="246"/>
      <c r="K40" s="302"/>
      <c r="L40" s="309"/>
      <c r="M40" s="309"/>
      <c r="N40" s="309"/>
      <c r="O40" s="309"/>
      <c r="P40" s="285"/>
      <c r="Q40" s="285"/>
      <c r="R40" s="285"/>
      <c r="S40" s="285"/>
      <c r="T40" s="285"/>
      <c r="U40" s="285"/>
      <c r="V40" s="285"/>
      <c r="W40" s="285"/>
    </row>
    <row r="41" spans="1:23" s="278" customFormat="1" ht="22.5" customHeight="1" x14ac:dyDescent="0.2">
      <c r="A41" s="294"/>
      <c r="B41" s="309"/>
      <c r="C41" s="309"/>
      <c r="D41" s="434"/>
      <c r="E41" s="180"/>
      <c r="F41" s="202"/>
      <c r="G41" s="203"/>
      <c r="H41" s="302"/>
      <c r="I41" s="246"/>
      <c r="J41" s="246"/>
      <c r="K41" s="302"/>
      <c r="L41" s="309"/>
      <c r="M41" s="309"/>
      <c r="N41" s="309"/>
      <c r="O41" s="309"/>
      <c r="P41" s="285"/>
      <c r="Q41" s="285"/>
      <c r="R41" s="285"/>
      <c r="S41" s="285"/>
      <c r="T41" s="285"/>
      <c r="U41" s="285"/>
      <c r="V41" s="285"/>
      <c r="W41" s="285"/>
    </row>
    <row r="42" spans="1:23" s="278" customFormat="1" ht="22.5" customHeight="1" x14ac:dyDescent="0.2">
      <c r="A42" s="294"/>
      <c r="B42" s="309"/>
      <c r="C42" s="309"/>
      <c r="D42" s="434"/>
      <c r="E42" s="179"/>
      <c r="F42" s="204"/>
      <c r="G42" s="205"/>
      <c r="H42" s="302"/>
      <c r="I42" s="246"/>
      <c r="J42" s="246"/>
      <c r="K42" s="302"/>
      <c r="L42" s="309"/>
      <c r="M42" s="309"/>
      <c r="N42" s="309"/>
      <c r="O42" s="309"/>
      <c r="P42" s="285"/>
      <c r="Q42" s="285"/>
      <c r="R42" s="285"/>
      <c r="S42" s="285"/>
      <c r="T42" s="285"/>
      <c r="U42" s="285"/>
      <c r="V42" s="285"/>
      <c r="W42" s="285"/>
    </row>
    <row r="43" spans="1:23" s="278" customFormat="1" ht="22.5" customHeight="1" x14ac:dyDescent="0.2">
      <c r="A43" s="294"/>
      <c r="B43" s="309"/>
      <c r="C43" s="309"/>
      <c r="D43" s="434"/>
      <c r="E43" s="180"/>
      <c r="F43" s="202"/>
      <c r="G43" s="203"/>
      <c r="H43" s="302"/>
      <c r="I43" s="246"/>
      <c r="J43" s="246"/>
      <c r="K43" s="302"/>
      <c r="L43" s="309"/>
      <c r="M43" s="309"/>
      <c r="N43" s="309"/>
      <c r="O43" s="309"/>
      <c r="P43" s="285"/>
      <c r="Q43" s="285"/>
      <c r="R43" s="285"/>
      <c r="S43" s="285"/>
      <c r="T43" s="285"/>
      <c r="U43" s="285"/>
      <c r="V43" s="285"/>
      <c r="W43" s="285"/>
    </row>
    <row r="44" spans="1:23" s="278" customFormat="1" ht="22.5" customHeight="1" x14ac:dyDescent="0.2">
      <c r="A44" s="294"/>
      <c r="B44" s="309"/>
      <c r="C44" s="309"/>
      <c r="D44" s="434"/>
      <c r="E44" s="179"/>
      <c r="F44" s="204"/>
      <c r="G44" s="205"/>
      <c r="H44" s="302"/>
      <c r="I44" s="246"/>
      <c r="J44" s="246"/>
      <c r="K44" s="302"/>
      <c r="L44" s="309"/>
      <c r="M44" s="309"/>
      <c r="N44" s="309"/>
      <c r="O44" s="309"/>
      <c r="P44" s="285"/>
      <c r="Q44" s="285"/>
      <c r="R44" s="285"/>
      <c r="S44" s="285"/>
      <c r="T44" s="285"/>
      <c r="U44" s="285"/>
      <c r="V44" s="285"/>
      <c r="W44" s="285"/>
    </row>
    <row r="45" spans="1:23" s="278" customFormat="1" ht="22.5" customHeight="1" x14ac:dyDescent="0.2">
      <c r="A45" s="294"/>
      <c r="B45" s="309"/>
      <c r="C45" s="309"/>
      <c r="D45" s="434"/>
      <c r="E45" s="180"/>
      <c r="F45" s="202"/>
      <c r="G45" s="203"/>
      <c r="H45" s="302"/>
      <c r="I45" s="246"/>
      <c r="J45" s="246"/>
      <c r="K45" s="302"/>
      <c r="L45" s="309"/>
      <c r="M45" s="309"/>
      <c r="N45" s="309"/>
      <c r="O45" s="309"/>
      <c r="P45" s="285"/>
      <c r="Q45" s="285"/>
      <c r="R45" s="285"/>
      <c r="S45" s="285"/>
      <c r="T45" s="285"/>
      <c r="U45" s="285"/>
      <c r="V45" s="285"/>
      <c r="W45" s="285"/>
    </row>
    <row r="46" spans="1:23" s="278" customFormat="1" ht="22.5" customHeight="1" x14ac:dyDescent="0.2">
      <c r="A46" s="294"/>
      <c r="B46" s="309"/>
      <c r="C46" s="309"/>
      <c r="D46" s="435"/>
      <c r="E46" s="179"/>
      <c r="F46" s="204"/>
      <c r="G46" s="205"/>
      <c r="H46" s="303"/>
      <c r="I46" s="246"/>
      <c r="J46" s="246"/>
      <c r="K46" s="303"/>
      <c r="L46" s="309"/>
      <c r="M46" s="309"/>
      <c r="N46" s="309"/>
      <c r="O46" s="309"/>
      <c r="P46" s="285"/>
      <c r="Q46" s="285"/>
      <c r="R46" s="285"/>
      <c r="S46" s="285"/>
      <c r="T46" s="285"/>
      <c r="U46" s="285"/>
      <c r="V46" s="285"/>
      <c r="W46" s="285"/>
    </row>
    <row r="47" spans="1:23" s="278" customFormat="1" ht="22.5" customHeight="1" x14ac:dyDescent="0.2">
      <c r="A47" s="294"/>
      <c r="B47" s="309"/>
      <c r="C47" s="309"/>
      <c r="D47" s="435"/>
      <c r="E47" s="180"/>
      <c r="F47" s="202"/>
      <c r="G47" s="203"/>
      <c r="H47" s="303"/>
      <c r="I47" s="246"/>
      <c r="J47" s="246"/>
      <c r="K47" s="303"/>
      <c r="L47" s="309"/>
      <c r="M47" s="309"/>
      <c r="N47" s="309"/>
      <c r="O47" s="309"/>
      <c r="P47" s="285"/>
      <c r="Q47" s="285"/>
      <c r="R47" s="285"/>
      <c r="S47" s="285"/>
      <c r="T47" s="285"/>
      <c r="U47" s="285"/>
      <c r="V47" s="285"/>
      <c r="W47" s="285"/>
    </row>
    <row r="48" spans="1:23" s="278" customFormat="1" ht="22.5" customHeight="1" x14ac:dyDescent="0.2">
      <c r="A48" s="294"/>
      <c r="B48" s="309"/>
      <c r="C48" s="309"/>
      <c r="D48" s="435"/>
      <c r="E48" s="179"/>
      <c r="F48" s="204"/>
      <c r="G48" s="205"/>
      <c r="H48" s="303"/>
      <c r="I48" s="246"/>
      <c r="J48" s="246"/>
      <c r="K48" s="303"/>
      <c r="L48" s="309"/>
      <c r="M48" s="309"/>
      <c r="N48" s="309"/>
      <c r="O48" s="309"/>
      <c r="P48" s="285"/>
      <c r="Q48" s="285"/>
      <c r="R48" s="285"/>
      <c r="S48" s="285"/>
      <c r="T48" s="285"/>
      <c r="U48" s="285"/>
      <c r="V48" s="285"/>
      <c r="W48" s="285"/>
    </row>
    <row r="49" spans="1:23" s="278" customFormat="1" ht="22.5" customHeight="1" x14ac:dyDescent="0.2">
      <c r="A49" s="294"/>
      <c r="B49" s="309"/>
      <c r="C49" s="309"/>
      <c r="D49" s="435"/>
      <c r="E49" s="180"/>
      <c r="F49" s="202"/>
      <c r="G49" s="203"/>
      <c r="H49" s="303"/>
      <c r="I49" s="246"/>
      <c r="J49" s="246"/>
      <c r="K49" s="303"/>
      <c r="L49" s="309"/>
      <c r="M49" s="309"/>
      <c r="N49" s="309"/>
      <c r="O49" s="309"/>
      <c r="P49" s="285"/>
      <c r="Q49" s="285"/>
      <c r="R49" s="285"/>
      <c r="S49" s="285"/>
      <c r="T49" s="285"/>
      <c r="U49" s="285"/>
      <c r="V49" s="285"/>
      <c r="W49" s="285"/>
    </row>
    <row r="50" spans="1:23" s="278" customFormat="1" ht="22.5" customHeight="1" x14ac:dyDescent="0.2">
      <c r="A50" s="294"/>
      <c r="B50" s="309"/>
      <c r="C50" s="309"/>
      <c r="D50" s="435"/>
      <c r="E50" s="179"/>
      <c r="F50" s="204"/>
      <c r="G50" s="205"/>
      <c r="H50" s="303"/>
      <c r="I50" s="246"/>
      <c r="J50" s="246"/>
      <c r="K50" s="303"/>
      <c r="L50" s="309"/>
      <c r="M50" s="309"/>
      <c r="N50" s="309"/>
      <c r="O50" s="309"/>
      <c r="P50" s="285"/>
      <c r="Q50" s="285"/>
      <c r="R50" s="285"/>
      <c r="S50" s="285"/>
      <c r="T50" s="285"/>
      <c r="U50" s="285"/>
      <c r="V50" s="285"/>
      <c r="W50" s="285"/>
    </row>
    <row r="51" spans="1:23" s="278" customFormat="1" ht="22.5" customHeight="1" x14ac:dyDescent="0.2">
      <c r="A51" s="294"/>
      <c r="B51" s="309"/>
      <c r="C51" s="309"/>
      <c r="D51" s="435"/>
      <c r="E51" s="180"/>
      <c r="F51" s="202"/>
      <c r="G51" s="203"/>
      <c r="H51" s="303"/>
      <c r="I51" s="309"/>
      <c r="J51" s="309"/>
      <c r="K51" s="303"/>
      <c r="L51" s="309"/>
      <c r="M51" s="309"/>
      <c r="N51" s="309"/>
      <c r="O51" s="309"/>
      <c r="P51" s="285"/>
      <c r="Q51" s="285"/>
      <c r="R51" s="285"/>
      <c r="S51" s="285"/>
      <c r="T51" s="285"/>
      <c r="U51" s="285"/>
      <c r="V51" s="285"/>
      <c r="W51" s="285"/>
    </row>
    <row r="52" spans="1:23" s="278" customFormat="1" ht="22.5" customHeight="1" x14ac:dyDescent="0.2">
      <c r="A52" s="294"/>
      <c r="B52" s="309"/>
      <c r="C52" s="309"/>
      <c r="D52" s="435"/>
      <c r="E52" s="179"/>
      <c r="F52" s="204"/>
      <c r="G52" s="205"/>
      <c r="H52" s="303"/>
      <c r="I52" s="309"/>
      <c r="J52" s="309"/>
      <c r="K52" s="303"/>
      <c r="L52" s="309"/>
      <c r="M52" s="309"/>
      <c r="N52" s="309"/>
      <c r="O52" s="309"/>
      <c r="P52" s="285"/>
      <c r="Q52" s="285"/>
      <c r="R52" s="285"/>
      <c r="S52" s="285"/>
      <c r="T52" s="285"/>
      <c r="U52" s="285"/>
      <c r="V52" s="285"/>
      <c r="W52" s="285"/>
    </row>
    <row r="53" spans="1:23" s="278" customFormat="1" ht="22.5" customHeight="1" x14ac:dyDescent="0.2">
      <c r="A53" s="294"/>
      <c r="B53" s="309"/>
      <c r="C53" s="309"/>
      <c r="D53" s="435"/>
      <c r="E53" s="180"/>
      <c r="F53" s="202"/>
      <c r="G53" s="203"/>
      <c r="H53" s="303"/>
      <c r="I53" s="309"/>
      <c r="J53" s="309"/>
      <c r="K53" s="303"/>
      <c r="L53" s="309"/>
      <c r="M53" s="309"/>
      <c r="N53" s="309"/>
      <c r="O53" s="309"/>
      <c r="P53" s="285"/>
      <c r="Q53" s="285"/>
      <c r="R53" s="285"/>
      <c r="S53" s="285"/>
      <c r="T53" s="285"/>
      <c r="U53" s="285"/>
      <c r="V53" s="285"/>
      <c r="W53" s="285"/>
    </row>
    <row r="54" spans="1:23" s="278" customFormat="1" ht="22.5" customHeight="1" x14ac:dyDescent="0.2">
      <c r="A54" s="294"/>
      <c r="B54" s="309"/>
      <c r="C54" s="309"/>
      <c r="D54" s="435"/>
      <c r="E54" s="179"/>
      <c r="F54" s="204"/>
      <c r="G54" s="205"/>
      <c r="H54" s="303"/>
      <c r="I54" s="309"/>
      <c r="J54" s="309"/>
      <c r="K54" s="303"/>
      <c r="L54" s="309"/>
      <c r="M54" s="309"/>
      <c r="N54" s="309"/>
      <c r="O54" s="309"/>
      <c r="P54" s="285"/>
      <c r="Q54" s="285"/>
      <c r="R54" s="285"/>
      <c r="S54" s="285"/>
      <c r="T54" s="285"/>
      <c r="U54" s="285"/>
      <c r="V54" s="285"/>
      <c r="W54" s="285"/>
    </row>
    <row r="55" spans="1:23" s="278" customFormat="1" ht="22.5" customHeight="1" x14ac:dyDescent="0.2">
      <c r="A55" s="294"/>
      <c r="B55" s="309"/>
      <c r="C55" s="309"/>
      <c r="D55" s="435"/>
      <c r="E55" s="180"/>
      <c r="F55" s="202"/>
      <c r="G55" s="203"/>
      <c r="H55" s="303"/>
      <c r="I55" s="309"/>
      <c r="J55" s="309"/>
      <c r="K55" s="303"/>
      <c r="L55" s="309"/>
      <c r="M55" s="309"/>
      <c r="N55" s="309"/>
      <c r="O55" s="309"/>
      <c r="P55" s="285"/>
      <c r="Q55" s="285"/>
      <c r="R55" s="285"/>
      <c r="S55" s="285"/>
      <c r="T55" s="285"/>
      <c r="U55" s="285"/>
      <c r="V55" s="285"/>
      <c r="W55" s="285"/>
    </row>
    <row r="56" spans="1:23" s="278" customFormat="1" ht="22.5" customHeight="1" x14ac:dyDescent="0.2">
      <c r="A56" s="294"/>
      <c r="B56" s="309"/>
      <c r="C56" s="309"/>
      <c r="D56" s="435"/>
      <c r="E56" s="179"/>
      <c r="F56" s="204"/>
      <c r="G56" s="205"/>
      <c r="H56" s="303"/>
      <c r="I56" s="309"/>
      <c r="J56" s="309"/>
      <c r="K56" s="303"/>
      <c r="L56" s="309"/>
      <c r="M56" s="309"/>
      <c r="N56" s="309"/>
      <c r="O56" s="309"/>
      <c r="P56" s="285"/>
      <c r="Q56" s="285"/>
      <c r="R56" s="285"/>
      <c r="S56" s="285"/>
      <c r="T56" s="285"/>
      <c r="U56" s="285"/>
      <c r="V56" s="285"/>
      <c r="W56" s="285"/>
    </row>
    <row r="57" spans="1:23" s="278" customFormat="1" ht="22.5" customHeight="1" x14ac:dyDescent="0.2">
      <c r="A57" s="294"/>
      <c r="B57" s="309"/>
      <c r="C57" s="309"/>
      <c r="D57" s="435"/>
      <c r="E57" s="180"/>
      <c r="F57" s="202"/>
      <c r="G57" s="203"/>
      <c r="H57" s="303"/>
      <c r="I57" s="309"/>
      <c r="J57" s="309"/>
      <c r="K57" s="303"/>
      <c r="L57" s="309"/>
      <c r="M57" s="309"/>
      <c r="N57" s="309"/>
      <c r="O57" s="309"/>
      <c r="P57" s="285"/>
      <c r="Q57" s="285"/>
      <c r="R57" s="285"/>
      <c r="S57" s="285"/>
      <c r="T57" s="285"/>
      <c r="U57" s="285"/>
      <c r="V57" s="285"/>
      <c r="W57" s="285"/>
    </row>
    <row r="58" spans="1:23" s="278" customFormat="1" ht="22.5" customHeight="1" x14ac:dyDescent="0.2">
      <c r="A58" s="294"/>
      <c r="B58" s="309"/>
      <c r="C58" s="309"/>
      <c r="D58" s="435"/>
      <c r="E58" s="179"/>
      <c r="F58" s="204"/>
      <c r="G58" s="205"/>
      <c r="H58" s="303"/>
      <c r="I58" s="309"/>
      <c r="J58" s="309"/>
      <c r="K58" s="303"/>
      <c r="L58" s="309"/>
      <c r="M58" s="309"/>
      <c r="N58" s="309"/>
      <c r="O58" s="309"/>
      <c r="P58" s="285"/>
      <c r="Q58" s="285"/>
      <c r="R58" s="285"/>
      <c r="S58" s="285"/>
      <c r="T58" s="285"/>
      <c r="U58" s="285"/>
      <c r="V58" s="285"/>
      <c r="W58" s="285"/>
    </row>
    <row r="59" spans="1:23" s="278" customFormat="1" ht="22.5" customHeight="1" x14ac:dyDescent="0.2">
      <c r="A59" s="294"/>
      <c r="B59" s="309"/>
      <c r="C59" s="309"/>
      <c r="D59" s="435"/>
      <c r="E59" s="180"/>
      <c r="F59" s="202"/>
      <c r="G59" s="203"/>
      <c r="H59" s="303"/>
      <c r="I59" s="309"/>
      <c r="J59" s="309"/>
      <c r="K59" s="303"/>
      <c r="L59" s="309"/>
      <c r="M59" s="309"/>
      <c r="N59" s="309"/>
      <c r="O59" s="309"/>
      <c r="P59" s="285"/>
      <c r="Q59" s="285"/>
      <c r="R59" s="285"/>
      <c r="S59" s="285"/>
      <c r="T59" s="285"/>
      <c r="U59" s="285"/>
      <c r="V59" s="285"/>
      <c r="W59" s="285"/>
    </row>
    <row r="60" spans="1:23" s="278" customFormat="1" ht="22.5" customHeight="1" x14ac:dyDescent="0.2">
      <c r="A60" s="294"/>
      <c r="B60" s="309"/>
      <c r="C60" s="309"/>
      <c r="D60" s="435"/>
      <c r="E60" s="179"/>
      <c r="F60" s="204"/>
      <c r="G60" s="205"/>
      <c r="H60" s="303"/>
      <c r="I60" s="309"/>
      <c r="J60" s="309"/>
      <c r="K60" s="303"/>
      <c r="L60" s="309"/>
      <c r="M60" s="309"/>
      <c r="N60" s="309"/>
      <c r="O60" s="309"/>
      <c r="P60" s="285"/>
      <c r="Q60" s="285"/>
      <c r="R60" s="285"/>
      <c r="S60" s="285"/>
      <c r="T60" s="285"/>
      <c r="U60" s="285"/>
      <c r="V60" s="285"/>
      <c r="W60" s="285"/>
    </row>
    <row r="61" spans="1:23" s="278" customFormat="1" ht="22.5" customHeight="1" x14ac:dyDescent="0.2">
      <c r="A61" s="294"/>
      <c r="B61" s="309"/>
      <c r="C61" s="309"/>
      <c r="D61" s="435"/>
      <c r="E61" s="180"/>
      <c r="F61" s="202"/>
      <c r="G61" s="203"/>
      <c r="H61" s="303"/>
      <c r="I61" s="309"/>
      <c r="J61" s="309"/>
      <c r="K61" s="303"/>
      <c r="L61" s="309"/>
      <c r="M61" s="309"/>
      <c r="N61" s="309"/>
      <c r="O61" s="309"/>
      <c r="P61" s="285"/>
      <c r="Q61" s="285"/>
      <c r="R61" s="285"/>
      <c r="S61" s="285"/>
      <c r="T61" s="285"/>
      <c r="U61" s="285"/>
      <c r="V61" s="285"/>
      <c r="W61" s="285"/>
    </row>
    <row r="62" spans="1:23" s="278" customFormat="1" ht="22.5" customHeight="1" x14ac:dyDescent="0.2">
      <c r="A62" s="294"/>
      <c r="B62" s="309"/>
      <c r="C62" s="309"/>
      <c r="D62" s="435"/>
      <c r="E62" s="179"/>
      <c r="F62" s="204"/>
      <c r="G62" s="205"/>
      <c r="H62" s="303"/>
      <c r="I62" s="309"/>
      <c r="J62" s="309"/>
      <c r="K62" s="303"/>
      <c r="L62" s="309"/>
      <c r="M62" s="309"/>
      <c r="N62" s="309"/>
      <c r="O62" s="309"/>
      <c r="P62" s="285"/>
      <c r="Q62" s="285"/>
      <c r="R62" s="285"/>
      <c r="S62" s="285"/>
      <c r="T62" s="285"/>
      <c r="U62" s="285"/>
      <c r="V62" s="285"/>
      <c r="W62" s="285"/>
    </row>
    <row r="63" spans="1:23" s="278" customFormat="1" ht="22.5" customHeight="1" x14ac:dyDescent="0.2">
      <c r="A63" s="294"/>
      <c r="B63" s="309"/>
      <c r="C63" s="309"/>
      <c r="D63" s="435"/>
      <c r="E63" s="180"/>
      <c r="F63" s="202"/>
      <c r="G63" s="203"/>
      <c r="H63" s="303"/>
      <c r="I63" s="309"/>
      <c r="J63" s="309"/>
      <c r="K63" s="303"/>
      <c r="L63" s="309"/>
      <c r="M63" s="309"/>
      <c r="N63" s="309"/>
      <c r="O63" s="309"/>
      <c r="P63" s="285"/>
      <c r="Q63" s="285"/>
      <c r="R63" s="285"/>
      <c r="S63" s="285"/>
      <c r="T63" s="285"/>
      <c r="U63" s="285"/>
      <c r="V63" s="285"/>
      <c r="W63" s="285"/>
    </row>
    <row r="64" spans="1:23" s="278" customFormat="1" ht="22.5" customHeight="1" x14ac:dyDescent="0.2">
      <c r="A64" s="294"/>
      <c r="B64" s="309"/>
      <c r="C64" s="309"/>
      <c r="D64" s="434"/>
      <c r="E64" s="179"/>
      <c r="F64" s="204"/>
      <c r="G64" s="205"/>
      <c r="H64" s="302"/>
      <c r="I64" s="309"/>
      <c r="J64" s="309"/>
      <c r="K64" s="302"/>
      <c r="L64" s="309"/>
      <c r="M64" s="309"/>
      <c r="N64" s="309"/>
      <c r="O64" s="309"/>
      <c r="P64" s="285"/>
      <c r="Q64" s="285"/>
      <c r="R64" s="285"/>
      <c r="S64" s="285"/>
      <c r="T64" s="285"/>
      <c r="U64" s="285"/>
      <c r="V64" s="285"/>
      <c r="W64" s="285"/>
    </row>
    <row r="65" spans="1:23" s="278" customFormat="1" ht="22.5" customHeight="1" x14ac:dyDescent="0.2">
      <c r="A65" s="294"/>
      <c r="B65" s="309"/>
      <c r="C65" s="309"/>
      <c r="D65" s="434"/>
      <c r="E65" s="180"/>
      <c r="F65" s="202"/>
      <c r="G65" s="203"/>
      <c r="H65" s="302"/>
      <c r="I65" s="309"/>
      <c r="J65" s="309"/>
      <c r="K65" s="302"/>
      <c r="L65" s="309"/>
      <c r="M65" s="309"/>
      <c r="N65" s="309"/>
      <c r="O65" s="309"/>
      <c r="P65" s="285"/>
      <c r="Q65" s="285"/>
      <c r="R65" s="285"/>
      <c r="S65" s="285"/>
      <c r="T65" s="285"/>
      <c r="U65" s="285"/>
      <c r="V65" s="285"/>
      <c r="W65" s="285"/>
    </row>
    <row r="66" spans="1:23" s="278" customFormat="1" ht="22.5" customHeight="1" x14ac:dyDescent="0.2">
      <c r="A66" s="294"/>
      <c r="B66" s="309"/>
      <c r="C66" s="309"/>
      <c r="D66" s="434"/>
      <c r="E66" s="179"/>
      <c r="F66" s="204"/>
      <c r="G66" s="205"/>
      <c r="H66" s="302"/>
      <c r="I66" s="309"/>
      <c r="J66" s="309"/>
      <c r="K66" s="302"/>
      <c r="L66" s="309"/>
      <c r="M66" s="309"/>
      <c r="N66" s="309"/>
      <c r="O66" s="309"/>
      <c r="P66" s="285"/>
      <c r="Q66" s="285"/>
      <c r="R66" s="285"/>
      <c r="S66" s="285"/>
      <c r="T66" s="285"/>
      <c r="U66" s="285"/>
      <c r="V66" s="285"/>
      <c r="W66" s="285"/>
    </row>
    <row r="67" spans="1:23" s="278" customFormat="1" ht="22.5" customHeight="1" x14ac:dyDescent="0.2">
      <c r="A67" s="294"/>
      <c r="B67" s="309"/>
      <c r="C67" s="309"/>
      <c r="D67" s="434"/>
      <c r="E67" s="180"/>
      <c r="F67" s="202"/>
      <c r="G67" s="203"/>
      <c r="H67" s="302"/>
      <c r="I67" s="309"/>
      <c r="J67" s="309"/>
      <c r="K67" s="302"/>
      <c r="L67" s="309"/>
      <c r="M67" s="309"/>
      <c r="N67" s="309"/>
      <c r="O67" s="309"/>
      <c r="P67" s="285"/>
      <c r="Q67" s="285"/>
      <c r="R67" s="285"/>
      <c r="S67" s="285"/>
      <c r="T67" s="285"/>
      <c r="U67" s="285"/>
      <c r="V67" s="285"/>
      <c r="W67" s="285"/>
    </row>
    <row r="68" spans="1:23" s="278" customFormat="1" ht="22.5" customHeight="1" x14ac:dyDescent="0.2">
      <c r="A68" s="294"/>
      <c r="B68" s="309"/>
      <c r="C68" s="309"/>
      <c r="D68" s="434"/>
      <c r="E68" s="179"/>
      <c r="F68" s="204"/>
      <c r="G68" s="205"/>
      <c r="H68" s="302"/>
      <c r="I68" s="309"/>
      <c r="J68" s="309"/>
      <c r="K68" s="302"/>
      <c r="L68" s="309"/>
      <c r="M68" s="309"/>
      <c r="N68" s="309"/>
      <c r="O68" s="309"/>
      <c r="P68" s="285"/>
      <c r="Q68" s="285"/>
      <c r="R68" s="285"/>
      <c r="S68" s="285"/>
      <c r="T68" s="285"/>
      <c r="U68" s="285"/>
      <c r="V68" s="285"/>
      <c r="W68" s="285"/>
    </row>
    <row r="69" spans="1:23" s="278" customFormat="1" ht="22.5" customHeight="1" x14ac:dyDescent="0.2">
      <c r="A69" s="294"/>
      <c r="B69" s="309"/>
      <c r="C69" s="309"/>
      <c r="D69" s="434"/>
      <c r="E69" s="180"/>
      <c r="F69" s="202"/>
      <c r="G69" s="203"/>
      <c r="H69" s="302"/>
      <c r="I69" s="309"/>
      <c r="J69" s="309"/>
      <c r="K69" s="302"/>
      <c r="L69" s="309"/>
      <c r="M69" s="309"/>
      <c r="N69" s="309"/>
      <c r="O69" s="309"/>
      <c r="P69" s="285"/>
      <c r="Q69" s="285"/>
      <c r="R69" s="285"/>
      <c r="S69" s="285"/>
      <c r="T69" s="285"/>
      <c r="U69" s="285"/>
      <c r="V69" s="285"/>
      <c r="W69" s="285"/>
    </row>
    <row r="70" spans="1:23" s="278" customFormat="1" ht="22.5" customHeight="1" x14ac:dyDescent="0.2">
      <c r="A70" s="294"/>
      <c r="B70" s="309"/>
      <c r="C70" s="309"/>
      <c r="D70" s="434"/>
      <c r="E70" s="179"/>
      <c r="F70" s="204"/>
      <c r="G70" s="205"/>
      <c r="H70" s="302"/>
      <c r="I70" s="309"/>
      <c r="J70" s="309"/>
      <c r="K70" s="302"/>
      <c r="L70" s="309"/>
      <c r="M70" s="309"/>
      <c r="N70" s="309"/>
      <c r="O70" s="309"/>
      <c r="P70" s="285"/>
      <c r="Q70" s="285"/>
      <c r="R70" s="285"/>
      <c r="S70" s="285"/>
      <c r="T70" s="285"/>
      <c r="U70" s="285"/>
      <c r="V70" s="285"/>
      <c r="W70" s="285"/>
    </row>
    <row r="71" spans="1:23" s="278" customFormat="1" ht="22.5" customHeight="1" x14ac:dyDescent="0.2">
      <c r="A71" s="294"/>
      <c r="B71" s="309"/>
      <c r="C71" s="309"/>
      <c r="D71" s="434"/>
      <c r="E71" s="180"/>
      <c r="F71" s="202"/>
      <c r="G71" s="203"/>
      <c r="H71" s="302"/>
      <c r="I71" s="309"/>
      <c r="J71" s="309"/>
      <c r="K71" s="302"/>
      <c r="L71" s="309"/>
      <c r="M71" s="309"/>
      <c r="N71" s="309"/>
      <c r="O71" s="309"/>
      <c r="P71" s="285"/>
      <c r="Q71" s="285"/>
      <c r="R71" s="285"/>
      <c r="S71" s="285"/>
      <c r="T71" s="285"/>
      <c r="U71" s="285"/>
      <c r="V71" s="285"/>
      <c r="W71" s="285"/>
    </row>
    <row r="72" spans="1:23" s="278" customFormat="1" ht="22.5" customHeight="1" x14ac:dyDescent="0.2">
      <c r="A72" s="294"/>
      <c r="B72" s="309"/>
      <c r="C72" s="309"/>
      <c r="D72" s="434"/>
      <c r="E72" s="179"/>
      <c r="F72" s="204"/>
      <c r="G72" s="205"/>
      <c r="H72" s="302"/>
      <c r="I72" s="309"/>
      <c r="J72" s="309"/>
      <c r="K72" s="302"/>
      <c r="L72" s="309"/>
      <c r="M72" s="309"/>
      <c r="N72" s="309"/>
      <c r="O72" s="309"/>
      <c r="P72" s="285"/>
      <c r="Q72" s="285"/>
      <c r="R72" s="285"/>
      <c r="S72" s="285"/>
      <c r="T72" s="285"/>
      <c r="U72" s="285"/>
      <c r="V72" s="285"/>
      <c r="W72" s="285"/>
    </row>
    <row r="73" spans="1:23" s="278" customFormat="1" ht="22.5" customHeight="1" x14ac:dyDescent="0.2">
      <c r="A73" s="294"/>
      <c r="B73" s="309"/>
      <c r="C73" s="309"/>
      <c r="D73" s="434"/>
      <c r="E73" s="180"/>
      <c r="F73" s="202"/>
      <c r="G73" s="203"/>
      <c r="H73" s="302"/>
      <c r="I73" s="309"/>
      <c r="J73" s="309"/>
      <c r="K73" s="302"/>
      <c r="L73" s="309"/>
      <c r="M73" s="309"/>
      <c r="N73" s="309"/>
      <c r="O73" s="309"/>
      <c r="P73" s="285"/>
      <c r="Q73" s="285"/>
      <c r="R73" s="285"/>
      <c r="S73" s="285"/>
      <c r="T73" s="285"/>
      <c r="U73" s="285"/>
      <c r="V73" s="285"/>
      <c r="W73" s="285"/>
    </row>
    <row r="74" spans="1:23" s="278" customFormat="1" ht="22.5" customHeight="1" x14ac:dyDescent="0.2">
      <c r="A74" s="294"/>
      <c r="B74" s="309"/>
      <c r="C74" s="309"/>
      <c r="D74" s="434"/>
      <c r="E74" s="179"/>
      <c r="F74" s="204"/>
      <c r="G74" s="205"/>
      <c r="H74" s="302"/>
      <c r="I74" s="309"/>
      <c r="J74" s="309"/>
      <c r="K74" s="302"/>
      <c r="L74" s="309"/>
      <c r="M74" s="309"/>
      <c r="N74" s="309"/>
      <c r="O74" s="309"/>
      <c r="P74" s="285"/>
      <c r="Q74" s="285"/>
      <c r="R74" s="285"/>
      <c r="S74" s="285"/>
      <c r="T74" s="285"/>
      <c r="U74" s="285"/>
      <c r="V74" s="285"/>
      <c r="W74" s="285"/>
    </row>
    <row r="75" spans="1:23" s="278" customFormat="1" ht="22.5" customHeight="1" x14ac:dyDescent="0.2">
      <c r="A75" s="294"/>
      <c r="B75" s="309"/>
      <c r="C75" s="309"/>
      <c r="D75" s="434"/>
      <c r="E75" s="180"/>
      <c r="F75" s="202"/>
      <c r="G75" s="203"/>
      <c r="H75" s="302"/>
      <c r="I75" s="309"/>
      <c r="J75" s="309"/>
      <c r="K75" s="302"/>
      <c r="L75" s="309"/>
      <c r="M75" s="309"/>
      <c r="N75" s="309"/>
      <c r="O75" s="309"/>
      <c r="P75" s="285"/>
      <c r="Q75" s="285"/>
      <c r="R75" s="285"/>
      <c r="S75" s="285"/>
      <c r="T75" s="285"/>
      <c r="U75" s="285"/>
      <c r="V75" s="285"/>
      <c r="W75" s="285"/>
    </row>
    <row r="76" spans="1:23" s="278" customFormat="1" ht="22.5" customHeight="1" x14ac:dyDescent="0.2">
      <c r="A76" s="294"/>
      <c r="B76" s="309"/>
      <c r="C76" s="309"/>
      <c r="D76" s="434"/>
      <c r="E76" s="179"/>
      <c r="F76" s="204"/>
      <c r="G76" s="205"/>
      <c r="H76" s="302"/>
      <c r="I76" s="309"/>
      <c r="J76" s="309"/>
      <c r="K76" s="302"/>
      <c r="L76" s="309"/>
      <c r="M76" s="309"/>
      <c r="N76" s="309"/>
      <c r="O76" s="309"/>
      <c r="P76" s="285"/>
      <c r="Q76" s="285"/>
      <c r="R76" s="285"/>
      <c r="S76" s="285"/>
      <c r="T76" s="285"/>
      <c r="U76" s="285"/>
      <c r="V76" s="285"/>
      <c r="W76" s="285"/>
    </row>
    <row r="77" spans="1:23" s="278" customFormat="1" ht="22.5" customHeight="1" x14ac:dyDescent="0.2">
      <c r="A77" s="294"/>
      <c r="B77" s="309"/>
      <c r="C77" s="309"/>
      <c r="D77" s="434"/>
      <c r="E77" s="180"/>
      <c r="F77" s="202"/>
      <c r="G77" s="203"/>
      <c r="H77" s="302"/>
      <c r="I77" s="309"/>
      <c r="J77" s="309"/>
      <c r="K77" s="302"/>
      <c r="L77" s="309"/>
      <c r="M77" s="309"/>
      <c r="N77" s="309"/>
      <c r="O77" s="309"/>
      <c r="P77" s="285"/>
      <c r="Q77" s="285"/>
      <c r="R77" s="285"/>
      <c r="S77" s="285"/>
      <c r="T77" s="285"/>
      <c r="U77" s="285"/>
      <c r="V77" s="285"/>
      <c r="W77" s="285"/>
    </row>
    <row r="78" spans="1:23" s="278" customFormat="1" ht="22.5" customHeight="1" x14ac:dyDescent="0.2">
      <c r="A78" s="294"/>
      <c r="B78" s="309"/>
      <c r="C78" s="309"/>
      <c r="D78" s="434"/>
      <c r="E78" s="179"/>
      <c r="F78" s="204"/>
      <c r="G78" s="205"/>
      <c r="H78" s="302"/>
      <c r="I78" s="309"/>
      <c r="J78" s="309"/>
      <c r="K78" s="302"/>
      <c r="L78" s="309"/>
      <c r="M78" s="309"/>
      <c r="N78" s="309"/>
      <c r="O78" s="309"/>
      <c r="P78" s="285"/>
      <c r="Q78" s="285"/>
      <c r="R78" s="285"/>
      <c r="S78" s="285"/>
      <c r="T78" s="285"/>
      <c r="U78" s="285"/>
      <c r="V78" s="285"/>
      <c r="W78" s="285"/>
    </row>
    <row r="79" spans="1:23" s="278" customFormat="1" ht="22.5" customHeight="1" x14ac:dyDescent="0.2">
      <c r="A79" s="294"/>
      <c r="B79" s="309"/>
      <c r="C79" s="309"/>
      <c r="D79" s="434"/>
      <c r="E79" s="180"/>
      <c r="F79" s="202"/>
      <c r="G79" s="203"/>
      <c r="H79" s="302"/>
      <c r="I79" s="309"/>
      <c r="J79" s="309"/>
      <c r="K79" s="302"/>
      <c r="L79" s="309"/>
      <c r="M79" s="309"/>
      <c r="N79" s="309"/>
      <c r="O79" s="309"/>
      <c r="P79" s="285"/>
      <c r="Q79" s="285"/>
      <c r="R79" s="285"/>
      <c r="S79" s="285"/>
      <c r="T79" s="285"/>
      <c r="U79" s="285"/>
      <c r="V79" s="285"/>
      <c r="W79" s="285"/>
    </row>
    <row r="80" spans="1:23" s="278" customFormat="1" ht="22.5" customHeight="1" x14ac:dyDescent="0.2">
      <c r="A80" s="294"/>
      <c r="B80" s="309"/>
      <c r="C80" s="309"/>
      <c r="D80" s="434"/>
      <c r="E80" s="179"/>
      <c r="F80" s="204"/>
      <c r="G80" s="205"/>
      <c r="H80" s="302"/>
      <c r="I80" s="309"/>
      <c r="J80" s="309"/>
      <c r="K80" s="302"/>
      <c r="L80" s="309"/>
      <c r="M80" s="309"/>
      <c r="N80" s="309"/>
      <c r="O80" s="309"/>
      <c r="P80" s="285"/>
      <c r="Q80" s="285"/>
      <c r="R80" s="285"/>
      <c r="S80" s="285"/>
      <c r="T80" s="285"/>
      <c r="U80" s="285"/>
      <c r="V80" s="285"/>
      <c r="W80" s="285"/>
    </row>
    <row r="81" spans="1:23" s="278" customFormat="1" ht="22.5" customHeight="1" x14ac:dyDescent="0.2">
      <c r="A81" s="294"/>
      <c r="B81" s="309"/>
      <c r="C81" s="309"/>
      <c r="D81" s="434"/>
      <c r="E81" s="180"/>
      <c r="F81" s="202"/>
      <c r="G81" s="203"/>
      <c r="H81" s="302"/>
      <c r="I81" s="309"/>
      <c r="J81" s="309"/>
      <c r="K81" s="302"/>
      <c r="L81" s="309"/>
      <c r="M81" s="309"/>
      <c r="N81" s="309"/>
      <c r="O81" s="309"/>
      <c r="P81" s="285"/>
      <c r="Q81" s="285"/>
      <c r="R81" s="285"/>
      <c r="S81" s="285"/>
      <c r="T81" s="285"/>
      <c r="U81" s="285"/>
      <c r="V81" s="285"/>
      <c r="W81" s="285"/>
    </row>
    <row r="82" spans="1:23" s="278" customFormat="1" ht="22.5" customHeight="1" x14ac:dyDescent="0.2">
      <c r="A82" s="294"/>
      <c r="B82" s="309"/>
      <c r="C82" s="309"/>
      <c r="D82" s="434"/>
      <c r="E82" s="179"/>
      <c r="F82" s="204"/>
      <c r="G82" s="205"/>
      <c r="H82" s="302"/>
      <c r="I82" s="309"/>
      <c r="J82" s="309"/>
      <c r="K82" s="302"/>
      <c r="L82" s="309"/>
      <c r="M82" s="309"/>
      <c r="N82" s="309"/>
      <c r="O82" s="309"/>
      <c r="P82" s="285"/>
      <c r="Q82" s="285"/>
      <c r="R82" s="285"/>
      <c r="S82" s="285"/>
      <c r="T82" s="285"/>
      <c r="U82" s="285"/>
      <c r="V82" s="285"/>
      <c r="W82" s="285"/>
    </row>
    <row r="83" spans="1:23" s="278" customFormat="1" ht="22.5" customHeight="1" x14ac:dyDescent="0.2">
      <c r="A83" s="294"/>
      <c r="B83" s="309"/>
      <c r="C83" s="309"/>
      <c r="D83" s="434"/>
      <c r="E83" s="180"/>
      <c r="F83" s="202"/>
      <c r="G83" s="203"/>
      <c r="H83" s="302"/>
      <c r="I83" s="309"/>
      <c r="J83" s="309"/>
      <c r="K83" s="302"/>
      <c r="L83" s="309"/>
      <c r="M83" s="309"/>
      <c r="N83" s="309"/>
      <c r="O83" s="309"/>
      <c r="P83" s="285"/>
      <c r="Q83" s="285"/>
      <c r="R83" s="285"/>
      <c r="S83" s="285"/>
      <c r="T83" s="285"/>
      <c r="U83" s="285"/>
      <c r="V83" s="285"/>
      <c r="W83" s="285"/>
    </row>
    <row r="84" spans="1:23" s="278" customFormat="1" ht="22.5" customHeight="1" x14ac:dyDescent="0.2">
      <c r="A84" s="294"/>
      <c r="B84" s="309"/>
      <c r="C84" s="309"/>
      <c r="D84" s="434"/>
      <c r="E84" s="179"/>
      <c r="F84" s="204"/>
      <c r="G84" s="205"/>
      <c r="H84" s="302"/>
      <c r="I84" s="309"/>
      <c r="J84" s="309"/>
      <c r="K84" s="302"/>
      <c r="L84" s="309"/>
      <c r="M84" s="309"/>
      <c r="N84" s="309"/>
      <c r="O84" s="309"/>
      <c r="P84" s="285"/>
      <c r="Q84" s="285"/>
      <c r="R84" s="285"/>
      <c r="S84" s="285"/>
      <c r="T84" s="285"/>
      <c r="U84" s="285"/>
      <c r="V84" s="285"/>
      <c r="W84" s="285"/>
    </row>
    <row r="85" spans="1:23" s="278" customFormat="1" ht="22.5" customHeight="1" x14ac:dyDescent="0.2">
      <c r="A85" s="294"/>
      <c r="B85" s="309"/>
      <c r="C85" s="309"/>
      <c r="D85" s="434"/>
      <c r="E85" s="180"/>
      <c r="F85" s="202"/>
      <c r="G85" s="203"/>
      <c r="H85" s="302"/>
      <c r="I85" s="309"/>
      <c r="J85" s="309"/>
      <c r="K85" s="302"/>
      <c r="L85" s="309"/>
      <c r="M85" s="309"/>
      <c r="N85" s="309"/>
      <c r="O85" s="309"/>
      <c r="P85" s="285"/>
      <c r="Q85" s="285"/>
      <c r="R85" s="285"/>
      <c r="S85" s="285"/>
      <c r="T85" s="285"/>
      <c r="U85" s="285"/>
      <c r="V85" s="285"/>
      <c r="W85" s="285"/>
    </row>
    <row r="86" spans="1:23" s="278" customFormat="1" ht="22.5" customHeight="1" x14ac:dyDescent="0.2">
      <c r="A86" s="294"/>
      <c r="B86" s="309"/>
      <c r="C86" s="309"/>
      <c r="D86" s="434"/>
      <c r="E86" s="179"/>
      <c r="F86" s="204"/>
      <c r="G86" s="205"/>
      <c r="H86" s="302"/>
      <c r="I86" s="309"/>
      <c r="J86" s="309"/>
      <c r="K86" s="302"/>
      <c r="L86" s="309"/>
      <c r="M86" s="309"/>
      <c r="N86" s="309"/>
      <c r="O86" s="309"/>
      <c r="P86" s="285"/>
      <c r="Q86" s="285"/>
      <c r="R86" s="285"/>
      <c r="S86" s="285"/>
      <c r="T86" s="285"/>
      <c r="U86" s="285"/>
      <c r="V86" s="285"/>
      <c r="W86" s="285"/>
    </row>
    <row r="87" spans="1:23" s="278" customFormat="1" ht="22.5" customHeight="1" x14ac:dyDescent="0.2">
      <c r="A87" s="294"/>
      <c r="B87" s="309"/>
      <c r="C87" s="309"/>
      <c r="D87" s="434"/>
      <c r="E87" s="180"/>
      <c r="F87" s="202"/>
      <c r="G87" s="203"/>
      <c r="H87" s="302"/>
      <c r="I87" s="309"/>
      <c r="J87" s="309"/>
      <c r="K87" s="302"/>
      <c r="L87" s="309"/>
      <c r="M87" s="309"/>
      <c r="N87" s="309"/>
      <c r="O87" s="309"/>
      <c r="P87" s="285"/>
      <c r="Q87" s="285"/>
      <c r="R87" s="285"/>
      <c r="S87" s="285"/>
      <c r="T87" s="285"/>
      <c r="U87" s="285"/>
      <c r="V87" s="285"/>
      <c r="W87" s="285"/>
    </row>
    <row r="88" spans="1:23" s="278" customFormat="1" ht="22.5" customHeight="1" x14ac:dyDescent="0.2">
      <c r="A88" s="294"/>
      <c r="B88" s="309"/>
      <c r="C88" s="309"/>
      <c r="D88" s="434"/>
      <c r="E88" s="179"/>
      <c r="F88" s="204"/>
      <c r="G88" s="205"/>
      <c r="H88" s="302"/>
      <c r="I88" s="309"/>
      <c r="J88" s="309"/>
      <c r="K88" s="302"/>
      <c r="L88" s="309"/>
      <c r="M88" s="309"/>
      <c r="N88" s="309"/>
      <c r="O88" s="309"/>
      <c r="P88" s="285"/>
      <c r="Q88" s="285"/>
      <c r="R88" s="285"/>
      <c r="S88" s="285"/>
      <c r="T88" s="285"/>
      <c r="U88" s="285"/>
      <c r="V88" s="285"/>
      <c r="W88" s="285"/>
    </row>
    <row r="89" spans="1:23" s="278" customFormat="1" ht="22.5" customHeight="1" x14ac:dyDescent="0.2">
      <c r="A89" s="294"/>
      <c r="B89" s="309"/>
      <c r="C89" s="309"/>
      <c r="D89" s="434"/>
      <c r="E89" s="180"/>
      <c r="F89" s="202"/>
      <c r="G89" s="203"/>
      <c r="H89" s="302"/>
      <c r="I89" s="309"/>
      <c r="J89" s="309"/>
      <c r="K89" s="302"/>
      <c r="L89" s="309"/>
      <c r="M89" s="309"/>
      <c r="N89" s="309"/>
      <c r="O89" s="309"/>
      <c r="P89" s="285"/>
      <c r="Q89" s="285"/>
      <c r="R89" s="285"/>
      <c r="S89" s="285"/>
      <c r="T89" s="285"/>
      <c r="U89" s="285"/>
      <c r="V89" s="285"/>
      <c r="W89" s="285"/>
    </row>
    <row r="90" spans="1:23" s="278" customFormat="1" ht="22.5" customHeight="1" x14ac:dyDescent="0.2">
      <c r="A90" s="294"/>
      <c r="B90" s="309"/>
      <c r="C90" s="309"/>
      <c r="D90" s="434"/>
      <c r="E90" s="179"/>
      <c r="F90" s="204"/>
      <c r="G90" s="205"/>
      <c r="H90" s="302"/>
      <c r="I90" s="309"/>
      <c r="J90" s="309"/>
      <c r="K90" s="302"/>
      <c r="L90" s="309"/>
      <c r="M90" s="309"/>
      <c r="N90" s="309"/>
      <c r="O90" s="309"/>
      <c r="P90" s="285"/>
      <c r="Q90" s="285"/>
      <c r="R90" s="285"/>
      <c r="S90" s="285"/>
      <c r="T90" s="285"/>
      <c r="U90" s="285"/>
      <c r="V90" s="285"/>
      <c r="W90" s="285"/>
    </row>
    <row r="91" spans="1:23" s="278" customFormat="1" ht="22.5" customHeight="1" x14ac:dyDescent="0.2">
      <c r="A91" s="294"/>
      <c r="B91" s="309"/>
      <c r="C91" s="309"/>
      <c r="D91" s="375"/>
      <c r="E91" s="180"/>
      <c r="F91" s="202"/>
      <c r="G91" s="203"/>
      <c r="H91" s="304"/>
      <c r="I91" s="309"/>
      <c r="J91" s="309"/>
      <c r="K91" s="304"/>
      <c r="L91" s="309"/>
      <c r="M91" s="309"/>
      <c r="N91" s="309"/>
      <c r="O91" s="309"/>
      <c r="P91" s="285"/>
      <c r="Q91" s="285"/>
      <c r="R91" s="285"/>
      <c r="S91" s="285"/>
      <c r="T91" s="285"/>
      <c r="U91" s="285"/>
      <c r="V91" s="285"/>
      <c r="W91" s="285"/>
    </row>
    <row r="92" spans="1:23" s="278" customFormat="1" ht="22.5" customHeight="1" x14ac:dyDescent="0.2">
      <c r="A92" s="294"/>
      <c r="B92" s="309"/>
      <c r="C92" s="309"/>
      <c r="D92" s="375"/>
      <c r="E92" s="179"/>
      <c r="F92" s="204"/>
      <c r="G92" s="205"/>
      <c r="H92" s="304"/>
      <c r="I92" s="309"/>
      <c r="J92" s="309"/>
      <c r="K92" s="304"/>
      <c r="L92" s="309"/>
      <c r="M92" s="309"/>
      <c r="N92" s="309"/>
      <c r="O92" s="309"/>
      <c r="P92" s="285"/>
      <c r="Q92" s="285"/>
      <c r="R92" s="285"/>
      <c r="S92" s="285"/>
      <c r="T92" s="285"/>
      <c r="U92" s="285"/>
      <c r="V92" s="285"/>
      <c r="W92" s="285"/>
    </row>
    <row r="93" spans="1:23" s="278" customFormat="1" ht="22.5" customHeight="1" x14ac:dyDescent="0.2">
      <c r="A93" s="294"/>
      <c r="B93" s="309"/>
      <c r="C93" s="309"/>
      <c r="D93" s="434"/>
      <c r="E93" s="180"/>
      <c r="F93" s="202"/>
      <c r="G93" s="203"/>
      <c r="H93" s="302"/>
      <c r="I93" s="309"/>
      <c r="J93" s="309"/>
      <c r="K93" s="302"/>
      <c r="L93" s="309"/>
      <c r="M93" s="309"/>
      <c r="N93" s="309"/>
      <c r="O93" s="309"/>
      <c r="P93" s="285"/>
      <c r="Q93" s="285"/>
      <c r="R93" s="285"/>
      <c r="S93" s="285"/>
      <c r="T93" s="285"/>
      <c r="U93" s="285"/>
      <c r="V93" s="285"/>
      <c r="W93" s="285"/>
    </row>
    <row r="94" spans="1:23" s="278" customFormat="1" ht="22.5" customHeight="1" x14ac:dyDescent="0.2">
      <c r="A94" s="294"/>
      <c r="B94" s="309"/>
      <c r="C94" s="309"/>
      <c r="D94" s="434"/>
      <c r="E94" s="179"/>
      <c r="F94" s="204"/>
      <c r="G94" s="205"/>
      <c r="H94" s="302"/>
      <c r="I94" s="309"/>
      <c r="J94" s="309"/>
      <c r="K94" s="302"/>
      <c r="L94" s="309"/>
      <c r="M94" s="309"/>
      <c r="N94" s="309"/>
      <c r="O94" s="309"/>
      <c r="P94" s="285"/>
      <c r="Q94" s="285"/>
      <c r="R94" s="285"/>
      <c r="S94" s="285"/>
      <c r="T94" s="285"/>
      <c r="U94" s="285"/>
      <c r="V94" s="285"/>
      <c r="W94" s="285"/>
    </row>
    <row r="95" spans="1:23" s="278" customFormat="1" ht="22.5" customHeight="1" x14ac:dyDescent="0.2">
      <c r="A95" s="294"/>
      <c r="B95" s="309"/>
      <c r="C95" s="309"/>
      <c r="D95" s="434"/>
      <c r="E95" s="180"/>
      <c r="F95" s="202"/>
      <c r="G95" s="203"/>
      <c r="H95" s="302"/>
      <c r="I95" s="309"/>
      <c r="J95" s="309"/>
      <c r="K95" s="302"/>
      <c r="L95" s="309"/>
      <c r="M95" s="309"/>
      <c r="N95" s="309"/>
      <c r="O95" s="309"/>
      <c r="P95" s="285"/>
      <c r="Q95" s="285"/>
      <c r="R95" s="285"/>
      <c r="S95" s="285"/>
      <c r="T95" s="285"/>
      <c r="U95" s="285"/>
      <c r="V95" s="285"/>
      <c r="W95" s="285"/>
    </row>
    <row r="96" spans="1:23" s="278" customFormat="1" ht="22.5" customHeight="1" x14ac:dyDescent="0.2">
      <c r="A96" s="294"/>
      <c r="B96" s="309"/>
      <c r="C96" s="309"/>
      <c r="D96" s="434"/>
      <c r="E96" s="179"/>
      <c r="F96" s="204"/>
      <c r="G96" s="205"/>
      <c r="H96" s="302"/>
      <c r="I96" s="309"/>
      <c r="J96" s="309"/>
      <c r="K96" s="302"/>
      <c r="L96" s="309"/>
      <c r="M96" s="309"/>
      <c r="N96" s="309"/>
      <c r="O96" s="309"/>
      <c r="P96" s="285"/>
      <c r="Q96" s="285"/>
      <c r="R96" s="285"/>
      <c r="S96" s="285"/>
      <c r="T96" s="285"/>
      <c r="U96" s="285"/>
      <c r="V96" s="285"/>
      <c r="W96" s="285"/>
    </row>
    <row r="97" spans="1:23" s="278" customFormat="1" ht="22.5" customHeight="1" x14ac:dyDescent="0.2">
      <c r="A97" s="294"/>
      <c r="B97" s="309"/>
      <c r="C97" s="309"/>
      <c r="D97" s="434"/>
      <c r="E97" s="180"/>
      <c r="F97" s="202"/>
      <c r="G97" s="203"/>
      <c r="H97" s="302"/>
      <c r="I97" s="309"/>
      <c r="J97" s="309"/>
      <c r="K97" s="302"/>
      <c r="L97" s="309"/>
      <c r="M97" s="309"/>
      <c r="N97" s="309"/>
      <c r="O97" s="309"/>
      <c r="P97" s="285"/>
      <c r="Q97" s="285"/>
      <c r="R97" s="285"/>
      <c r="S97" s="285"/>
      <c r="T97" s="285"/>
      <c r="U97" s="285"/>
      <c r="V97" s="285"/>
      <c r="W97" s="285"/>
    </row>
    <row r="98" spans="1:23" s="278" customFormat="1" ht="22.5" customHeight="1" x14ac:dyDescent="0.2">
      <c r="A98" s="294"/>
      <c r="B98" s="309"/>
      <c r="C98" s="309"/>
      <c r="D98" s="434"/>
      <c r="E98" s="179"/>
      <c r="F98" s="204"/>
      <c r="G98" s="205"/>
      <c r="H98" s="302"/>
      <c r="I98" s="309"/>
      <c r="J98" s="309"/>
      <c r="K98" s="302"/>
      <c r="L98" s="309"/>
      <c r="M98" s="309"/>
      <c r="N98" s="309"/>
      <c r="O98" s="309"/>
      <c r="P98" s="285"/>
      <c r="Q98" s="285"/>
      <c r="R98" s="285"/>
      <c r="S98" s="285"/>
      <c r="T98" s="285"/>
      <c r="U98" s="285"/>
      <c r="V98" s="285"/>
      <c r="W98" s="285"/>
    </row>
    <row r="99" spans="1:23" s="278" customFormat="1" ht="22.5" customHeight="1" x14ac:dyDescent="0.2">
      <c r="A99" s="294"/>
      <c r="B99" s="309"/>
      <c r="C99" s="309"/>
      <c r="D99" s="434"/>
      <c r="E99" s="180"/>
      <c r="F99" s="202"/>
      <c r="G99" s="203"/>
      <c r="H99" s="302"/>
      <c r="I99" s="309"/>
      <c r="J99" s="309"/>
      <c r="K99" s="302"/>
      <c r="L99" s="309"/>
      <c r="M99" s="309"/>
      <c r="N99" s="309"/>
      <c r="O99" s="309"/>
      <c r="P99" s="285"/>
      <c r="Q99" s="285"/>
      <c r="R99" s="285"/>
      <c r="S99" s="285"/>
      <c r="T99" s="285"/>
      <c r="U99" s="285"/>
      <c r="V99" s="285"/>
      <c r="W99" s="285"/>
    </row>
    <row r="100" spans="1:23" s="278" customFormat="1" ht="22.5" customHeight="1" x14ac:dyDescent="0.2">
      <c r="A100" s="294"/>
      <c r="B100" s="309"/>
      <c r="C100" s="309"/>
      <c r="D100" s="434"/>
      <c r="E100" s="179"/>
      <c r="F100" s="204"/>
      <c r="G100" s="205"/>
      <c r="H100" s="302"/>
      <c r="I100" s="309"/>
      <c r="J100" s="309"/>
      <c r="K100" s="302"/>
      <c r="L100" s="309"/>
      <c r="M100" s="309"/>
      <c r="N100" s="309"/>
      <c r="O100" s="309"/>
      <c r="P100" s="285"/>
      <c r="Q100" s="285"/>
      <c r="R100" s="285"/>
      <c r="S100" s="285"/>
      <c r="T100" s="285"/>
      <c r="U100" s="285"/>
      <c r="V100" s="285"/>
      <c r="W100" s="285"/>
    </row>
    <row r="101" spans="1:23" s="278" customFormat="1" ht="22.5" customHeight="1" x14ac:dyDescent="0.2">
      <c r="A101" s="294"/>
      <c r="B101" s="309"/>
      <c r="C101" s="309"/>
      <c r="D101" s="434"/>
      <c r="E101" s="180"/>
      <c r="F101" s="202"/>
      <c r="G101" s="203"/>
      <c r="H101" s="302"/>
      <c r="I101" s="309"/>
      <c r="J101" s="309"/>
      <c r="K101" s="302"/>
      <c r="L101" s="309"/>
      <c r="M101" s="309"/>
      <c r="N101" s="309"/>
      <c r="O101" s="309"/>
      <c r="P101" s="285"/>
      <c r="Q101" s="285"/>
      <c r="R101" s="285"/>
      <c r="S101" s="285"/>
      <c r="T101" s="285"/>
      <c r="U101" s="285"/>
      <c r="V101" s="285"/>
      <c r="W101" s="285"/>
    </row>
    <row r="102" spans="1:23" s="278" customFormat="1" ht="22.5" customHeight="1" x14ac:dyDescent="0.2">
      <c r="A102" s="294"/>
      <c r="B102" s="309"/>
      <c r="C102" s="309"/>
      <c r="D102" s="434"/>
      <c r="E102" s="179"/>
      <c r="F102" s="204"/>
      <c r="G102" s="205"/>
      <c r="H102" s="302"/>
      <c r="I102" s="309"/>
      <c r="J102" s="309"/>
      <c r="K102" s="302"/>
      <c r="L102" s="309"/>
      <c r="M102" s="309"/>
      <c r="N102" s="309"/>
      <c r="O102" s="309"/>
      <c r="P102" s="285"/>
      <c r="Q102" s="285"/>
      <c r="R102" s="285"/>
      <c r="S102" s="285"/>
      <c r="T102" s="285"/>
      <c r="U102" s="285"/>
      <c r="V102" s="285"/>
      <c r="W102" s="285"/>
    </row>
    <row r="103" spans="1:23" s="278" customFormat="1" ht="22.5" customHeight="1" x14ac:dyDescent="0.2">
      <c r="A103" s="294"/>
      <c r="B103" s="309"/>
      <c r="C103" s="309"/>
      <c r="D103" s="434"/>
      <c r="E103" s="180"/>
      <c r="F103" s="202"/>
      <c r="G103" s="203"/>
      <c r="H103" s="302"/>
      <c r="I103" s="309"/>
      <c r="J103" s="309"/>
      <c r="K103" s="302"/>
      <c r="L103" s="309"/>
      <c r="M103" s="309"/>
      <c r="N103" s="309"/>
      <c r="O103" s="309"/>
      <c r="P103" s="285"/>
      <c r="Q103" s="285"/>
      <c r="R103" s="285"/>
      <c r="S103" s="285"/>
      <c r="T103" s="285"/>
      <c r="U103" s="285"/>
      <c r="V103" s="285"/>
      <c r="W103" s="285"/>
    </row>
    <row r="104" spans="1:23" s="278" customFormat="1" ht="22.5" customHeight="1" x14ac:dyDescent="0.2">
      <c r="A104" s="294"/>
      <c r="B104" s="309"/>
      <c r="C104" s="309"/>
      <c r="D104" s="434"/>
      <c r="E104" s="179"/>
      <c r="F104" s="204"/>
      <c r="G104" s="205"/>
      <c r="H104" s="302"/>
      <c r="I104" s="309"/>
      <c r="J104" s="309"/>
      <c r="K104" s="302"/>
      <c r="L104" s="309"/>
      <c r="M104" s="309"/>
      <c r="N104" s="309"/>
      <c r="O104" s="309"/>
      <c r="P104" s="285"/>
      <c r="Q104" s="285"/>
      <c r="R104" s="285"/>
      <c r="S104" s="285"/>
      <c r="T104" s="285"/>
      <c r="U104" s="285"/>
      <c r="V104" s="285"/>
      <c r="W104" s="285"/>
    </row>
    <row r="105" spans="1:23" s="278" customFormat="1" ht="22.5" customHeight="1" x14ac:dyDescent="0.2">
      <c r="A105" s="294"/>
      <c r="B105" s="309"/>
      <c r="C105" s="309"/>
      <c r="D105" s="434"/>
      <c r="E105" s="180"/>
      <c r="F105" s="202"/>
      <c r="G105" s="203"/>
      <c r="H105" s="302"/>
      <c r="I105" s="309"/>
      <c r="J105" s="309"/>
      <c r="K105" s="302"/>
      <c r="L105" s="309"/>
      <c r="M105" s="309"/>
      <c r="N105" s="309"/>
      <c r="O105" s="309"/>
      <c r="P105" s="285"/>
      <c r="Q105" s="285"/>
      <c r="R105" s="285"/>
      <c r="S105" s="285"/>
      <c r="T105" s="285"/>
      <c r="U105" s="285"/>
      <c r="V105" s="285"/>
      <c r="W105" s="285"/>
    </row>
    <row r="106" spans="1:23" s="278" customFormat="1" ht="22.5" customHeight="1" x14ac:dyDescent="0.2">
      <c r="A106" s="294"/>
      <c r="B106" s="309"/>
      <c r="C106" s="309"/>
      <c r="D106" s="434"/>
      <c r="E106" s="179"/>
      <c r="F106" s="204"/>
      <c r="G106" s="205"/>
      <c r="H106" s="302"/>
      <c r="I106" s="309"/>
      <c r="J106" s="309"/>
      <c r="K106" s="302"/>
      <c r="L106" s="309"/>
      <c r="M106" s="309"/>
      <c r="N106" s="309"/>
      <c r="O106" s="309"/>
      <c r="P106" s="285"/>
      <c r="Q106" s="285"/>
      <c r="R106" s="285"/>
      <c r="S106" s="285"/>
      <c r="T106" s="285"/>
      <c r="U106" s="285"/>
      <c r="V106" s="285"/>
      <c r="W106" s="285"/>
    </row>
    <row r="107" spans="1:23" s="278" customFormat="1" ht="22.5" customHeight="1" x14ac:dyDescent="0.2">
      <c r="A107" s="294"/>
      <c r="B107" s="309"/>
      <c r="C107" s="309"/>
      <c r="D107" s="434"/>
      <c r="E107" s="180"/>
      <c r="F107" s="202"/>
      <c r="G107" s="203"/>
      <c r="H107" s="302"/>
      <c r="I107" s="309"/>
      <c r="J107" s="309"/>
      <c r="K107" s="302"/>
      <c r="L107" s="309"/>
      <c r="M107" s="309"/>
      <c r="N107" s="309"/>
      <c r="O107" s="309"/>
      <c r="P107" s="285"/>
      <c r="Q107" s="285"/>
      <c r="R107" s="285"/>
      <c r="S107" s="285"/>
      <c r="T107" s="285"/>
      <c r="U107" s="285"/>
      <c r="V107" s="285"/>
      <c r="W107" s="285"/>
    </row>
    <row r="108" spans="1:23" s="278" customFormat="1" ht="22.5" customHeight="1" x14ac:dyDescent="0.2">
      <c r="A108" s="294"/>
      <c r="B108" s="309"/>
      <c r="C108" s="309"/>
      <c r="D108" s="434"/>
      <c r="E108" s="179"/>
      <c r="F108" s="204"/>
      <c r="G108" s="205"/>
      <c r="H108" s="302"/>
      <c r="I108" s="309"/>
      <c r="J108" s="309"/>
      <c r="K108" s="302"/>
      <c r="L108" s="309"/>
      <c r="M108" s="309"/>
      <c r="N108" s="309"/>
      <c r="O108" s="309"/>
      <c r="P108" s="285"/>
      <c r="Q108" s="285"/>
      <c r="R108" s="285"/>
      <c r="S108" s="285"/>
      <c r="T108" s="285"/>
      <c r="U108" s="285"/>
      <c r="V108" s="285"/>
      <c r="W108" s="285"/>
    </row>
    <row r="109" spans="1:23" s="278" customFormat="1" ht="22.5" customHeight="1" x14ac:dyDescent="0.2">
      <c r="A109" s="294"/>
      <c r="B109" s="309"/>
      <c r="C109" s="309"/>
      <c r="D109" s="434"/>
      <c r="E109" s="180"/>
      <c r="F109" s="202"/>
      <c r="G109" s="203"/>
      <c r="H109" s="302"/>
      <c r="I109" s="309"/>
      <c r="J109" s="309"/>
      <c r="K109" s="302"/>
      <c r="L109" s="309"/>
      <c r="M109" s="309"/>
      <c r="N109" s="309"/>
      <c r="O109" s="309"/>
      <c r="P109" s="285"/>
      <c r="Q109" s="285"/>
      <c r="R109" s="285"/>
      <c r="S109" s="285"/>
      <c r="T109" s="285"/>
      <c r="U109" s="285"/>
      <c r="V109" s="285"/>
      <c r="W109" s="285"/>
    </row>
    <row r="110" spans="1:23" s="278" customFormat="1" ht="22.5" customHeight="1" x14ac:dyDescent="0.2">
      <c r="A110" s="294"/>
      <c r="B110" s="309"/>
      <c r="C110" s="309"/>
      <c r="D110" s="434"/>
      <c r="E110" s="179"/>
      <c r="F110" s="204"/>
      <c r="G110" s="205"/>
      <c r="H110" s="302"/>
      <c r="I110" s="309"/>
      <c r="J110" s="309"/>
      <c r="K110" s="302"/>
      <c r="L110" s="309"/>
      <c r="M110" s="309"/>
      <c r="N110" s="309"/>
      <c r="O110" s="309"/>
      <c r="P110" s="285"/>
      <c r="Q110" s="285"/>
      <c r="R110" s="285"/>
      <c r="S110" s="285"/>
      <c r="T110" s="285"/>
      <c r="U110" s="285"/>
      <c r="V110" s="285"/>
      <c r="W110" s="285"/>
    </row>
    <row r="111" spans="1:23" s="278" customFormat="1" ht="22.5" customHeight="1" x14ac:dyDescent="0.2">
      <c r="A111" s="294"/>
      <c r="B111" s="309"/>
      <c r="C111" s="309"/>
      <c r="D111" s="434"/>
      <c r="E111" s="180"/>
      <c r="F111" s="202"/>
      <c r="G111" s="203"/>
      <c r="H111" s="302"/>
      <c r="I111" s="309"/>
      <c r="J111" s="309"/>
      <c r="K111" s="302"/>
      <c r="L111" s="309"/>
      <c r="M111" s="309"/>
      <c r="N111" s="309"/>
      <c r="O111" s="309"/>
      <c r="P111" s="285"/>
      <c r="Q111" s="285"/>
      <c r="R111" s="285"/>
      <c r="S111" s="285"/>
      <c r="T111" s="285"/>
      <c r="U111" s="285"/>
      <c r="V111" s="285"/>
      <c r="W111" s="285"/>
    </row>
    <row r="112" spans="1:23" s="278" customFormat="1" ht="22.5" customHeight="1" x14ac:dyDescent="0.2">
      <c r="A112" s="294"/>
      <c r="B112" s="309"/>
      <c r="C112" s="309"/>
      <c r="D112" s="434"/>
      <c r="E112" s="179"/>
      <c r="F112" s="204"/>
      <c r="G112" s="205"/>
      <c r="H112" s="302"/>
      <c r="I112" s="309"/>
      <c r="J112" s="309"/>
      <c r="K112" s="302"/>
      <c r="L112" s="309"/>
      <c r="M112" s="309"/>
      <c r="N112" s="309"/>
      <c r="O112" s="309"/>
      <c r="P112" s="285"/>
      <c r="Q112" s="285"/>
      <c r="R112" s="285"/>
      <c r="S112" s="285"/>
      <c r="T112" s="285"/>
      <c r="U112" s="285"/>
      <c r="V112" s="285"/>
      <c r="W112" s="285"/>
    </row>
    <row r="113" spans="1:23" s="278" customFormat="1" ht="22.5" customHeight="1" x14ac:dyDescent="0.2">
      <c r="A113" s="294"/>
      <c r="B113" s="309"/>
      <c r="C113" s="309"/>
      <c r="D113" s="434"/>
      <c r="E113" s="180"/>
      <c r="F113" s="202"/>
      <c r="G113" s="203"/>
      <c r="H113" s="302"/>
      <c r="I113" s="309"/>
      <c r="J113" s="309"/>
      <c r="K113" s="302"/>
      <c r="L113" s="309"/>
      <c r="M113" s="309"/>
      <c r="N113" s="309"/>
      <c r="O113" s="309"/>
      <c r="P113" s="285"/>
      <c r="Q113" s="285"/>
      <c r="R113" s="285"/>
      <c r="S113" s="285"/>
      <c r="T113" s="285"/>
      <c r="U113" s="285"/>
      <c r="V113" s="285"/>
      <c r="W113" s="285"/>
    </row>
    <row r="114" spans="1:23" s="278" customFormat="1" ht="22.5" customHeight="1" x14ac:dyDescent="0.2">
      <c r="A114" s="294"/>
      <c r="B114" s="309"/>
      <c r="C114" s="309"/>
      <c r="D114" s="434"/>
      <c r="E114" s="179"/>
      <c r="F114" s="204"/>
      <c r="G114" s="205"/>
      <c r="H114" s="302"/>
      <c r="I114" s="309"/>
      <c r="J114" s="309"/>
      <c r="K114" s="302"/>
      <c r="L114" s="309"/>
      <c r="M114" s="309"/>
      <c r="N114" s="309"/>
      <c r="O114" s="309"/>
      <c r="P114" s="285"/>
      <c r="Q114" s="285"/>
      <c r="R114" s="285"/>
      <c r="S114" s="285"/>
      <c r="T114" s="285"/>
      <c r="U114" s="285"/>
      <c r="V114" s="285"/>
      <c r="W114" s="285"/>
    </row>
    <row r="115" spans="1:23" s="278" customFormat="1" ht="22.5" customHeight="1" x14ac:dyDescent="0.2">
      <c r="A115" s="294"/>
      <c r="B115" s="309"/>
      <c r="C115" s="309"/>
      <c r="D115" s="434"/>
      <c r="E115" s="180"/>
      <c r="F115" s="202"/>
      <c r="G115" s="203"/>
      <c r="H115" s="302"/>
      <c r="I115" s="309"/>
      <c r="J115" s="309"/>
      <c r="K115" s="302"/>
      <c r="L115" s="309"/>
      <c r="M115" s="309"/>
      <c r="N115" s="309"/>
      <c r="O115" s="309"/>
      <c r="P115" s="285"/>
      <c r="Q115" s="285"/>
      <c r="R115" s="285"/>
      <c r="S115" s="285"/>
      <c r="T115" s="285"/>
      <c r="U115" s="285"/>
      <c r="V115" s="285"/>
      <c r="W115" s="285"/>
    </row>
    <row r="116" spans="1:23" s="278" customFormat="1" ht="22.5" customHeight="1" x14ac:dyDescent="0.2">
      <c r="A116" s="294"/>
      <c r="B116" s="309"/>
      <c r="C116" s="309"/>
      <c r="D116" s="434"/>
      <c r="E116" s="179"/>
      <c r="F116" s="204"/>
      <c r="G116" s="205"/>
      <c r="H116" s="302"/>
      <c r="I116" s="309"/>
      <c r="J116" s="309"/>
      <c r="K116" s="302"/>
      <c r="L116" s="309"/>
      <c r="M116" s="309"/>
      <c r="N116" s="309"/>
      <c r="O116" s="309"/>
      <c r="P116" s="285"/>
      <c r="Q116" s="285"/>
      <c r="R116" s="285"/>
      <c r="S116" s="285"/>
      <c r="T116" s="285"/>
      <c r="U116" s="285"/>
      <c r="V116" s="285"/>
      <c r="W116" s="285"/>
    </row>
    <row r="117" spans="1:23" s="278" customFormat="1" ht="22.5" customHeight="1" x14ac:dyDescent="0.2">
      <c r="A117" s="294"/>
      <c r="B117" s="309"/>
      <c r="C117" s="309"/>
      <c r="D117" s="434"/>
      <c r="E117" s="180"/>
      <c r="F117" s="202"/>
      <c r="G117" s="203"/>
      <c r="H117" s="302"/>
      <c r="I117" s="309"/>
      <c r="J117" s="309"/>
      <c r="K117" s="302"/>
      <c r="L117" s="309"/>
      <c r="M117" s="309"/>
      <c r="N117" s="309"/>
      <c r="O117" s="309"/>
      <c r="P117" s="285"/>
      <c r="Q117" s="285"/>
      <c r="R117" s="285"/>
      <c r="S117" s="285"/>
      <c r="T117" s="285"/>
      <c r="U117" s="285"/>
      <c r="V117" s="285"/>
      <c r="W117" s="285"/>
    </row>
    <row r="118" spans="1:23" s="278" customFormat="1" ht="22.5" customHeight="1" x14ac:dyDescent="0.2">
      <c r="A118" s="294"/>
      <c r="B118" s="309"/>
      <c r="C118" s="309"/>
      <c r="D118" s="434"/>
      <c r="E118" s="179"/>
      <c r="F118" s="204"/>
      <c r="G118" s="205"/>
      <c r="H118" s="302"/>
      <c r="I118" s="309"/>
      <c r="J118" s="309"/>
      <c r="K118" s="302"/>
      <c r="L118" s="309"/>
      <c r="M118" s="309"/>
      <c r="N118" s="309"/>
      <c r="O118" s="309"/>
      <c r="P118" s="285"/>
      <c r="Q118" s="285"/>
      <c r="R118" s="285"/>
      <c r="S118" s="285"/>
      <c r="T118" s="285"/>
      <c r="U118" s="285"/>
      <c r="V118" s="285"/>
      <c r="W118" s="285"/>
    </row>
    <row r="119" spans="1:23" s="278" customFormat="1" ht="22.5" customHeight="1" x14ac:dyDescent="0.2">
      <c r="A119" s="294"/>
      <c r="B119" s="308"/>
      <c r="C119" s="308"/>
      <c r="D119" s="434"/>
      <c r="E119" s="180"/>
      <c r="F119" s="202"/>
      <c r="G119" s="203"/>
      <c r="H119" s="302"/>
      <c r="I119" s="308"/>
      <c r="J119" s="308"/>
      <c r="K119" s="302"/>
      <c r="L119" s="308"/>
      <c r="M119" s="308"/>
      <c r="N119" s="308"/>
      <c r="O119" s="308"/>
      <c r="P119" s="277"/>
      <c r="Q119" s="277"/>
      <c r="R119" s="277"/>
      <c r="S119" s="277"/>
      <c r="T119" s="277"/>
      <c r="U119" s="277"/>
      <c r="V119" s="277"/>
      <c r="W119" s="277"/>
    </row>
    <row r="120" spans="1:23" s="278" customFormat="1" ht="22.5" customHeight="1" x14ac:dyDescent="0.2">
      <c r="A120" s="294"/>
      <c r="B120" s="308"/>
      <c r="C120" s="308"/>
      <c r="D120" s="434"/>
      <c r="E120" s="179"/>
      <c r="F120" s="204"/>
      <c r="G120" s="205"/>
      <c r="H120" s="302"/>
      <c r="I120" s="308"/>
      <c r="J120" s="308"/>
      <c r="K120" s="302"/>
      <c r="L120" s="308"/>
      <c r="M120" s="308"/>
      <c r="N120" s="308"/>
      <c r="O120" s="308"/>
      <c r="P120" s="277"/>
      <c r="Q120" s="277"/>
      <c r="R120" s="277"/>
      <c r="S120" s="277"/>
      <c r="T120" s="277"/>
      <c r="U120" s="277"/>
      <c r="V120" s="277"/>
      <c r="W120" s="277"/>
    </row>
    <row r="121" spans="1:23" s="278" customFormat="1" ht="22.5" customHeight="1" x14ac:dyDescent="0.2">
      <c r="A121" s="294"/>
      <c r="B121" s="308"/>
      <c r="C121" s="308"/>
      <c r="D121" s="434"/>
      <c r="E121" s="180"/>
      <c r="F121" s="202"/>
      <c r="G121" s="203"/>
      <c r="H121" s="302"/>
      <c r="I121" s="308"/>
      <c r="J121" s="308"/>
      <c r="K121" s="302"/>
      <c r="L121" s="308"/>
      <c r="M121" s="308"/>
      <c r="N121" s="308"/>
      <c r="O121" s="308"/>
      <c r="P121" s="277"/>
      <c r="Q121" s="277"/>
      <c r="R121" s="277"/>
      <c r="S121" s="277"/>
      <c r="T121" s="277"/>
      <c r="U121" s="277"/>
      <c r="V121" s="277"/>
      <c r="W121" s="277"/>
    </row>
    <row r="122" spans="1:23" s="278" customFormat="1" ht="22.5" customHeight="1" x14ac:dyDescent="0.2">
      <c r="A122" s="294"/>
      <c r="B122" s="308"/>
      <c r="C122" s="308"/>
      <c r="D122" s="434"/>
      <c r="E122" s="179"/>
      <c r="F122" s="204"/>
      <c r="G122" s="205"/>
      <c r="H122" s="302"/>
      <c r="I122" s="308"/>
      <c r="J122" s="308"/>
      <c r="K122" s="302"/>
      <c r="L122" s="308"/>
      <c r="M122" s="308"/>
      <c r="N122" s="308"/>
      <c r="O122" s="308"/>
      <c r="P122" s="277"/>
      <c r="Q122" s="277"/>
      <c r="R122" s="277"/>
      <c r="S122" s="277"/>
      <c r="T122" s="277"/>
      <c r="U122" s="277"/>
      <c r="V122" s="277"/>
      <c r="W122" s="277"/>
    </row>
    <row r="123" spans="1:23" s="278" customFormat="1" ht="22.5" customHeight="1" x14ac:dyDescent="0.2">
      <c r="A123" s="294"/>
      <c r="B123" s="308"/>
      <c r="C123" s="308"/>
      <c r="D123" s="434"/>
      <c r="E123" s="180"/>
      <c r="F123" s="202"/>
      <c r="G123" s="203"/>
      <c r="H123" s="302"/>
      <c r="I123" s="308"/>
      <c r="J123" s="308"/>
      <c r="K123" s="302"/>
      <c r="L123" s="308"/>
      <c r="M123" s="308"/>
      <c r="N123" s="308"/>
      <c r="O123" s="308"/>
      <c r="P123" s="277"/>
      <c r="Q123" s="277"/>
      <c r="R123" s="277"/>
      <c r="S123" s="277"/>
      <c r="T123" s="277"/>
      <c r="U123" s="277"/>
      <c r="V123" s="277"/>
      <c r="W123" s="277"/>
    </row>
    <row r="124" spans="1:23" s="278" customFormat="1" ht="22.5" customHeight="1" x14ac:dyDescent="0.2">
      <c r="A124" s="294"/>
      <c r="B124" s="308"/>
      <c r="C124" s="308"/>
      <c r="D124" s="434"/>
      <c r="E124" s="179"/>
      <c r="F124" s="204"/>
      <c r="G124" s="205"/>
      <c r="H124" s="302"/>
      <c r="I124" s="308"/>
      <c r="J124" s="308"/>
      <c r="K124" s="302"/>
      <c r="L124" s="308"/>
      <c r="M124" s="308"/>
      <c r="N124" s="308"/>
      <c r="O124" s="308"/>
      <c r="P124" s="277"/>
      <c r="Q124" s="277"/>
      <c r="R124" s="277"/>
      <c r="S124" s="277"/>
      <c r="T124" s="277"/>
      <c r="U124" s="277"/>
      <c r="V124" s="277"/>
      <c r="W124" s="277"/>
    </row>
    <row r="125" spans="1:23" s="278" customFormat="1" ht="22.5" customHeight="1" x14ac:dyDescent="0.2">
      <c r="A125" s="294"/>
      <c r="B125" s="308"/>
      <c r="C125" s="308"/>
      <c r="D125" s="434"/>
      <c r="E125" s="180"/>
      <c r="F125" s="202"/>
      <c r="G125" s="203"/>
      <c r="H125" s="302"/>
      <c r="I125" s="308"/>
      <c r="J125" s="308"/>
      <c r="K125" s="302"/>
      <c r="L125" s="308"/>
      <c r="M125" s="308"/>
      <c r="N125" s="308"/>
      <c r="O125" s="308"/>
      <c r="P125" s="277"/>
      <c r="Q125" s="277"/>
      <c r="R125" s="277"/>
      <c r="S125" s="277"/>
      <c r="T125" s="277"/>
      <c r="U125" s="277"/>
      <c r="V125" s="277"/>
      <c r="W125" s="277"/>
    </row>
    <row r="126" spans="1:23" s="278" customFormat="1" ht="22.5" customHeight="1" x14ac:dyDescent="0.2">
      <c r="A126" s="294"/>
      <c r="B126" s="308"/>
      <c r="C126" s="308"/>
      <c r="D126" s="434"/>
      <c r="E126" s="179"/>
      <c r="F126" s="204"/>
      <c r="G126" s="205"/>
      <c r="H126" s="302"/>
      <c r="I126" s="308"/>
      <c r="J126" s="308"/>
      <c r="K126" s="302"/>
      <c r="L126" s="308"/>
      <c r="M126" s="308"/>
      <c r="N126" s="308"/>
      <c r="O126" s="308"/>
      <c r="P126" s="277"/>
      <c r="Q126" s="277"/>
      <c r="R126" s="277"/>
      <c r="S126" s="277"/>
      <c r="T126" s="277"/>
      <c r="U126" s="277"/>
      <c r="V126" s="277"/>
      <c r="W126" s="277"/>
    </row>
    <row r="127" spans="1:23" s="278" customFormat="1" ht="22.5" customHeight="1" x14ac:dyDescent="0.2">
      <c r="A127" s="294"/>
      <c r="B127" s="308"/>
      <c r="C127" s="308"/>
      <c r="D127" s="436"/>
      <c r="E127" s="180"/>
      <c r="F127" s="202"/>
      <c r="G127" s="203"/>
      <c r="H127" s="305"/>
      <c r="I127" s="308"/>
      <c r="J127" s="308"/>
      <c r="K127" s="305"/>
      <c r="L127" s="308"/>
      <c r="M127" s="308"/>
      <c r="N127" s="308"/>
      <c r="O127" s="308"/>
      <c r="P127" s="277"/>
      <c r="Q127" s="277"/>
      <c r="R127" s="277"/>
      <c r="S127" s="277"/>
      <c r="T127" s="277"/>
      <c r="U127" s="277"/>
      <c r="V127" s="277"/>
      <c r="W127" s="277"/>
    </row>
    <row r="128" spans="1:23" s="278" customFormat="1" ht="22.5" customHeight="1" x14ac:dyDescent="0.2">
      <c r="A128" s="294"/>
      <c r="B128" s="308"/>
      <c r="C128" s="308"/>
      <c r="D128" s="434"/>
      <c r="E128" s="179"/>
      <c r="F128" s="204"/>
      <c r="G128" s="205"/>
      <c r="H128" s="302"/>
      <c r="I128" s="308"/>
      <c r="J128" s="308"/>
      <c r="K128" s="302"/>
      <c r="L128" s="308"/>
      <c r="M128" s="308"/>
      <c r="N128" s="308"/>
      <c r="O128" s="308"/>
      <c r="P128" s="277"/>
      <c r="Q128" s="277"/>
      <c r="R128" s="277"/>
      <c r="S128" s="277"/>
      <c r="T128" s="277"/>
      <c r="U128" s="277"/>
      <c r="V128" s="277"/>
      <c r="W128" s="277"/>
    </row>
    <row r="129" spans="1:23" s="278" customFormat="1" ht="22.5" customHeight="1" x14ac:dyDescent="0.2">
      <c r="A129" s="294"/>
      <c r="B129" s="308"/>
      <c r="C129" s="308"/>
      <c r="D129" s="434"/>
      <c r="E129" s="180"/>
      <c r="F129" s="202"/>
      <c r="G129" s="203"/>
      <c r="H129" s="302"/>
      <c r="I129" s="308"/>
      <c r="J129" s="308"/>
      <c r="K129" s="302"/>
      <c r="L129" s="308"/>
      <c r="M129" s="308"/>
      <c r="N129" s="308"/>
      <c r="O129" s="308"/>
      <c r="P129" s="277"/>
      <c r="Q129" s="277"/>
      <c r="R129" s="277"/>
      <c r="S129" s="277"/>
      <c r="T129" s="277"/>
      <c r="U129" s="277"/>
      <c r="V129" s="277"/>
      <c r="W129" s="277"/>
    </row>
    <row r="130" spans="1:23" s="278" customFormat="1" ht="22.5" customHeight="1" x14ac:dyDescent="0.2">
      <c r="A130" s="294"/>
      <c r="B130" s="308"/>
      <c r="C130" s="308"/>
      <c r="D130" s="434"/>
      <c r="E130" s="179"/>
      <c r="F130" s="204"/>
      <c r="G130" s="205"/>
      <c r="H130" s="302"/>
      <c r="I130" s="308"/>
      <c r="J130" s="308"/>
      <c r="K130" s="302"/>
      <c r="L130" s="308"/>
      <c r="M130" s="308"/>
      <c r="N130" s="308"/>
      <c r="O130" s="308"/>
      <c r="P130" s="277"/>
      <c r="Q130" s="277"/>
      <c r="R130" s="277"/>
      <c r="S130" s="277"/>
      <c r="T130" s="277"/>
      <c r="U130" s="277"/>
      <c r="V130" s="277"/>
      <c r="W130" s="277"/>
    </row>
    <row r="131" spans="1:23" s="278" customFormat="1" ht="22.5" customHeight="1" x14ac:dyDescent="0.2">
      <c r="A131" s="294"/>
      <c r="B131" s="308"/>
      <c r="C131" s="308"/>
      <c r="D131" s="434"/>
      <c r="E131" s="180"/>
      <c r="F131" s="202"/>
      <c r="G131" s="203"/>
      <c r="H131" s="302"/>
      <c r="I131" s="308"/>
      <c r="J131" s="308"/>
      <c r="K131" s="302"/>
      <c r="L131" s="308"/>
      <c r="M131" s="308"/>
      <c r="N131" s="308"/>
      <c r="O131" s="308"/>
      <c r="P131" s="277"/>
      <c r="Q131" s="277"/>
      <c r="R131" s="277"/>
      <c r="S131" s="277"/>
      <c r="T131" s="277"/>
      <c r="U131" s="277"/>
      <c r="V131" s="277"/>
      <c r="W131" s="277"/>
    </row>
    <row r="132" spans="1:23" s="278" customFormat="1" ht="22.5" customHeight="1" x14ac:dyDescent="0.2">
      <c r="A132" s="294"/>
      <c r="B132" s="308"/>
      <c r="C132" s="308"/>
      <c r="D132" s="434"/>
      <c r="E132" s="179"/>
      <c r="F132" s="204"/>
      <c r="G132" s="205"/>
      <c r="H132" s="302"/>
      <c r="I132" s="308"/>
      <c r="J132" s="308"/>
      <c r="K132" s="302"/>
      <c r="L132" s="308"/>
      <c r="M132" s="308"/>
      <c r="N132" s="308"/>
      <c r="O132" s="308"/>
      <c r="P132" s="277"/>
      <c r="Q132" s="277"/>
      <c r="R132" s="277"/>
      <c r="S132" s="277"/>
      <c r="T132" s="277"/>
      <c r="U132" s="277"/>
      <c r="V132" s="277"/>
      <c r="W132" s="277"/>
    </row>
    <row r="133" spans="1:23" s="278" customFormat="1" ht="22.5" customHeight="1" x14ac:dyDescent="0.2">
      <c r="A133" s="294"/>
      <c r="B133" s="308"/>
      <c r="C133" s="308"/>
      <c r="D133" s="434"/>
      <c r="E133" s="180"/>
      <c r="F133" s="202"/>
      <c r="G133" s="203"/>
      <c r="H133" s="302"/>
      <c r="I133" s="308"/>
      <c r="J133" s="308"/>
      <c r="K133" s="302"/>
      <c r="L133" s="308"/>
      <c r="M133" s="308"/>
      <c r="N133" s="308"/>
      <c r="O133" s="308"/>
      <c r="P133" s="277"/>
      <c r="Q133" s="277"/>
      <c r="R133" s="277"/>
      <c r="S133" s="277"/>
      <c r="T133" s="277"/>
      <c r="U133" s="277"/>
      <c r="V133" s="277"/>
      <c r="W133" s="277"/>
    </row>
    <row r="134" spans="1:23" s="278" customFormat="1" ht="22.5" customHeight="1" x14ac:dyDescent="0.2">
      <c r="A134" s="294"/>
      <c r="B134" s="308"/>
      <c r="C134" s="308"/>
      <c r="D134" s="434"/>
      <c r="E134" s="179"/>
      <c r="F134" s="204"/>
      <c r="G134" s="205"/>
      <c r="H134" s="302"/>
      <c r="I134" s="308"/>
      <c r="J134" s="308"/>
      <c r="K134" s="302"/>
      <c r="L134" s="308"/>
      <c r="M134" s="308"/>
      <c r="N134" s="308"/>
      <c r="O134" s="308"/>
      <c r="P134" s="277"/>
      <c r="Q134" s="277"/>
      <c r="R134" s="277"/>
      <c r="S134" s="277"/>
      <c r="T134" s="277"/>
      <c r="U134" s="277"/>
      <c r="V134" s="277"/>
      <c r="W134" s="277"/>
    </row>
    <row r="135" spans="1:23" s="278" customFormat="1" ht="22.5" customHeight="1" x14ac:dyDescent="0.2">
      <c r="A135" s="294"/>
      <c r="B135" s="308"/>
      <c r="C135" s="308"/>
      <c r="D135" s="434"/>
      <c r="E135" s="180"/>
      <c r="F135" s="202"/>
      <c r="G135" s="203"/>
      <c r="H135" s="302"/>
      <c r="I135" s="308"/>
      <c r="J135" s="308"/>
      <c r="K135" s="302"/>
      <c r="L135" s="308"/>
      <c r="M135" s="308"/>
      <c r="N135" s="308"/>
      <c r="O135" s="308"/>
      <c r="P135" s="277"/>
      <c r="Q135" s="277"/>
      <c r="R135" s="277"/>
      <c r="S135" s="277"/>
      <c r="T135" s="277"/>
      <c r="U135" s="277"/>
      <c r="V135" s="277"/>
      <c r="W135" s="277"/>
    </row>
    <row r="136" spans="1:23" s="278" customFormat="1" ht="22.5" customHeight="1" x14ac:dyDescent="0.2">
      <c r="A136" s="294"/>
      <c r="B136" s="308"/>
      <c r="C136" s="308"/>
      <c r="D136" s="434"/>
      <c r="E136" s="179"/>
      <c r="F136" s="204"/>
      <c r="G136" s="205"/>
      <c r="H136" s="302"/>
      <c r="I136" s="308"/>
      <c r="J136" s="308"/>
      <c r="K136" s="302"/>
      <c r="L136" s="308"/>
      <c r="M136" s="308"/>
      <c r="N136" s="308"/>
      <c r="O136" s="308"/>
      <c r="P136" s="277"/>
      <c r="Q136" s="277"/>
      <c r="R136" s="277"/>
      <c r="S136" s="277"/>
      <c r="T136" s="277"/>
      <c r="U136" s="277"/>
      <c r="V136" s="277"/>
      <c r="W136" s="277"/>
    </row>
    <row r="137" spans="1:23" s="278" customFormat="1" ht="22.5" customHeight="1" x14ac:dyDescent="0.2">
      <c r="A137" s="294"/>
      <c r="B137" s="308"/>
      <c r="C137" s="308"/>
      <c r="D137" s="434"/>
      <c r="E137" s="180"/>
      <c r="F137" s="202"/>
      <c r="G137" s="203"/>
      <c r="H137" s="302"/>
      <c r="I137" s="308"/>
      <c r="J137" s="308"/>
      <c r="K137" s="302"/>
      <c r="L137" s="308"/>
      <c r="M137" s="308"/>
      <c r="N137" s="308"/>
      <c r="O137" s="308"/>
      <c r="P137" s="277"/>
      <c r="Q137" s="277"/>
      <c r="R137" s="277"/>
      <c r="S137" s="277"/>
      <c r="T137" s="277"/>
      <c r="U137" s="277"/>
      <c r="V137" s="277"/>
      <c r="W137" s="277"/>
    </row>
    <row r="138" spans="1:23" s="278" customFormat="1" ht="22.5" customHeight="1" x14ac:dyDescent="0.2">
      <c r="A138" s="294"/>
      <c r="B138" s="308"/>
      <c r="C138" s="308"/>
      <c r="D138" s="434"/>
      <c r="E138" s="179"/>
      <c r="F138" s="204"/>
      <c r="G138" s="205"/>
      <c r="H138" s="302"/>
      <c r="I138" s="308"/>
      <c r="J138" s="308"/>
      <c r="K138" s="302"/>
      <c r="L138" s="308"/>
      <c r="M138" s="308"/>
      <c r="N138" s="308"/>
      <c r="O138" s="308"/>
      <c r="P138" s="277"/>
      <c r="Q138" s="277"/>
      <c r="R138" s="277"/>
      <c r="S138" s="277"/>
      <c r="T138" s="277"/>
      <c r="U138" s="277"/>
      <c r="V138" s="277"/>
      <c r="W138" s="277"/>
    </row>
    <row r="139" spans="1:23" s="278" customFormat="1" ht="22.5" customHeight="1" x14ac:dyDescent="0.2">
      <c r="A139" s="294"/>
      <c r="B139" s="308"/>
      <c r="C139" s="308"/>
      <c r="D139" s="434"/>
      <c r="E139" s="180"/>
      <c r="F139" s="202"/>
      <c r="G139" s="203"/>
      <c r="H139" s="302"/>
      <c r="I139" s="308"/>
      <c r="J139" s="308"/>
      <c r="K139" s="302"/>
      <c r="L139" s="308"/>
      <c r="M139" s="308"/>
      <c r="N139" s="308"/>
      <c r="O139" s="308"/>
      <c r="P139" s="277"/>
      <c r="Q139" s="277"/>
      <c r="R139" s="277"/>
      <c r="S139" s="277"/>
      <c r="T139" s="277"/>
      <c r="U139" s="277"/>
      <c r="V139" s="277"/>
      <c r="W139" s="277"/>
    </row>
    <row r="140" spans="1:23" s="278" customFormat="1" ht="22.5" customHeight="1" x14ac:dyDescent="0.2">
      <c r="A140" s="294"/>
      <c r="B140" s="308"/>
      <c r="C140" s="308"/>
      <c r="D140" s="434"/>
      <c r="E140" s="179"/>
      <c r="F140" s="204"/>
      <c r="G140" s="205"/>
      <c r="H140" s="302"/>
      <c r="I140" s="308"/>
      <c r="J140" s="308"/>
      <c r="K140" s="302"/>
      <c r="L140" s="308"/>
      <c r="M140" s="308"/>
      <c r="N140" s="308"/>
      <c r="O140" s="308"/>
      <c r="P140" s="277"/>
      <c r="Q140" s="277"/>
      <c r="R140" s="277"/>
      <c r="S140" s="277"/>
      <c r="T140" s="277"/>
      <c r="U140" s="277"/>
      <c r="V140" s="277"/>
      <c r="W140" s="277"/>
    </row>
    <row r="141" spans="1:23" s="278" customFormat="1" ht="22.5" customHeight="1" x14ac:dyDescent="0.2">
      <c r="A141" s="294"/>
      <c r="B141" s="308"/>
      <c r="C141" s="308"/>
      <c r="D141" s="434"/>
      <c r="E141" s="180"/>
      <c r="F141" s="202"/>
      <c r="G141" s="203"/>
      <c r="H141" s="302"/>
      <c r="I141" s="308"/>
      <c r="J141" s="308"/>
      <c r="K141" s="302"/>
      <c r="L141" s="308"/>
      <c r="M141" s="308"/>
      <c r="N141" s="308"/>
      <c r="O141" s="308"/>
      <c r="P141" s="277"/>
      <c r="Q141" s="277"/>
      <c r="R141" s="277"/>
      <c r="S141" s="277"/>
      <c r="T141" s="277"/>
      <c r="U141" s="277"/>
      <c r="V141" s="277"/>
      <c r="W141" s="277"/>
    </row>
    <row r="142" spans="1:23" s="278" customFormat="1" ht="22.5" customHeight="1" x14ac:dyDescent="0.2">
      <c r="A142" s="294"/>
      <c r="B142" s="308"/>
      <c r="C142" s="308"/>
      <c r="D142" s="434"/>
      <c r="E142" s="179"/>
      <c r="F142" s="204"/>
      <c r="G142" s="205"/>
      <c r="H142" s="302"/>
      <c r="I142" s="308"/>
      <c r="J142" s="308"/>
      <c r="K142" s="302"/>
      <c r="L142" s="308"/>
      <c r="M142" s="308"/>
      <c r="N142" s="308"/>
      <c r="O142" s="308"/>
      <c r="P142" s="277"/>
      <c r="Q142" s="277"/>
      <c r="R142" s="277"/>
      <c r="S142" s="277"/>
      <c r="T142" s="277"/>
      <c r="U142" s="277"/>
      <c r="V142" s="277"/>
      <c r="W142" s="277"/>
    </row>
    <row r="143" spans="1:23" s="278" customFormat="1" ht="22.5" customHeight="1" x14ac:dyDescent="0.2">
      <c r="A143" s="294"/>
      <c r="B143" s="308"/>
      <c r="C143" s="308"/>
      <c r="D143" s="434"/>
      <c r="E143" s="180"/>
      <c r="F143" s="202"/>
      <c r="G143" s="203"/>
      <c r="H143" s="302"/>
      <c r="I143" s="308"/>
      <c r="J143" s="308"/>
      <c r="K143" s="302"/>
      <c r="L143" s="308"/>
      <c r="M143" s="308"/>
      <c r="N143" s="308"/>
      <c r="O143" s="308"/>
      <c r="P143" s="277"/>
      <c r="Q143" s="277"/>
      <c r="R143" s="277"/>
      <c r="S143" s="277"/>
      <c r="T143" s="277"/>
      <c r="U143" s="277"/>
      <c r="V143" s="277"/>
      <c r="W143" s="277"/>
    </row>
    <row r="144" spans="1:23" s="278" customFormat="1" ht="22.5" customHeight="1" x14ac:dyDescent="0.2">
      <c r="A144" s="294"/>
      <c r="B144" s="308"/>
      <c r="C144" s="308"/>
      <c r="D144" s="434"/>
      <c r="E144" s="179"/>
      <c r="F144" s="204"/>
      <c r="G144" s="205"/>
      <c r="H144" s="302"/>
      <c r="I144" s="308"/>
      <c r="J144" s="308"/>
      <c r="K144" s="302"/>
      <c r="L144" s="308"/>
      <c r="M144" s="308"/>
      <c r="N144" s="308"/>
      <c r="O144" s="308"/>
      <c r="P144" s="277"/>
      <c r="Q144" s="277"/>
      <c r="R144" s="277"/>
      <c r="S144" s="277"/>
      <c r="T144" s="277"/>
      <c r="U144" s="277"/>
      <c r="V144" s="277"/>
      <c r="W144" s="277"/>
    </row>
    <row r="145" spans="1:23" s="278" customFormat="1" ht="22.5" customHeight="1" x14ac:dyDescent="0.2">
      <c r="A145" s="294"/>
      <c r="B145" s="308"/>
      <c r="C145" s="308"/>
      <c r="D145" s="434"/>
      <c r="E145" s="180"/>
      <c r="F145" s="202"/>
      <c r="G145" s="203"/>
      <c r="H145" s="302"/>
      <c r="I145" s="308"/>
      <c r="J145" s="308"/>
      <c r="K145" s="302"/>
      <c r="L145" s="308"/>
      <c r="M145" s="308"/>
      <c r="N145" s="308"/>
      <c r="O145" s="308"/>
      <c r="P145" s="277"/>
      <c r="Q145" s="277"/>
      <c r="R145" s="277"/>
      <c r="S145" s="277"/>
      <c r="T145" s="277"/>
      <c r="U145" s="277"/>
      <c r="V145" s="277"/>
      <c r="W145" s="277"/>
    </row>
    <row r="146" spans="1:23" s="278" customFormat="1" ht="22.5" customHeight="1" x14ac:dyDescent="0.2">
      <c r="A146" s="294"/>
      <c r="B146" s="308"/>
      <c r="C146" s="308"/>
      <c r="D146" s="434"/>
      <c r="E146" s="179"/>
      <c r="F146" s="204"/>
      <c r="G146" s="205"/>
      <c r="H146" s="302"/>
      <c r="I146" s="308"/>
      <c r="J146" s="308"/>
      <c r="K146" s="302"/>
      <c r="L146" s="308"/>
      <c r="M146" s="308"/>
      <c r="N146" s="308"/>
      <c r="O146" s="308"/>
      <c r="P146" s="277"/>
      <c r="Q146" s="277"/>
      <c r="R146" s="277"/>
      <c r="S146" s="277"/>
      <c r="T146" s="277"/>
      <c r="U146" s="277"/>
      <c r="V146" s="277"/>
      <c r="W146" s="277"/>
    </row>
    <row r="147" spans="1:23" s="278" customFormat="1" ht="22.5" customHeight="1" x14ac:dyDescent="0.2">
      <c r="A147" s="294"/>
      <c r="B147" s="308"/>
      <c r="C147" s="308"/>
      <c r="D147" s="434"/>
      <c r="E147" s="180"/>
      <c r="F147" s="202"/>
      <c r="G147" s="203"/>
      <c r="H147" s="302"/>
      <c r="I147" s="308"/>
      <c r="J147" s="308"/>
      <c r="K147" s="302"/>
      <c r="L147" s="308"/>
      <c r="M147" s="308"/>
      <c r="N147" s="308"/>
      <c r="O147" s="308"/>
      <c r="P147" s="277"/>
      <c r="Q147" s="277"/>
      <c r="R147" s="277"/>
      <c r="S147" s="277"/>
      <c r="T147" s="277"/>
      <c r="U147" s="277"/>
      <c r="V147" s="277"/>
      <c r="W147" s="277"/>
    </row>
    <row r="148" spans="1:23" s="278" customFormat="1" ht="22.5" customHeight="1" x14ac:dyDescent="0.2">
      <c r="A148" s="294"/>
      <c r="B148" s="308"/>
      <c r="C148" s="308"/>
      <c r="D148" s="434"/>
      <c r="E148" s="179"/>
      <c r="F148" s="204"/>
      <c r="G148" s="205"/>
      <c r="H148" s="302"/>
      <c r="I148" s="308"/>
      <c r="J148" s="308"/>
      <c r="K148" s="302"/>
      <c r="L148" s="308"/>
      <c r="M148" s="308"/>
      <c r="N148" s="308"/>
      <c r="O148" s="308"/>
      <c r="P148" s="277"/>
      <c r="Q148" s="277"/>
      <c r="R148" s="277"/>
      <c r="S148" s="277"/>
      <c r="T148" s="277"/>
      <c r="U148" s="277"/>
      <c r="V148" s="277"/>
      <c r="W148" s="277"/>
    </row>
    <row r="149" spans="1:23" s="278" customFormat="1" ht="22.5" customHeight="1" x14ac:dyDescent="0.2">
      <c r="A149" s="294"/>
      <c r="B149" s="308"/>
      <c r="C149" s="308"/>
      <c r="D149" s="434"/>
      <c r="E149" s="180"/>
      <c r="F149" s="202"/>
      <c r="G149" s="203"/>
      <c r="H149" s="302"/>
      <c r="I149" s="308"/>
      <c r="J149" s="308"/>
      <c r="K149" s="302"/>
      <c r="L149" s="308"/>
      <c r="M149" s="308"/>
      <c r="N149" s="308"/>
      <c r="O149" s="308"/>
      <c r="P149" s="277"/>
      <c r="Q149" s="277"/>
      <c r="R149" s="277"/>
      <c r="S149" s="277"/>
      <c r="T149" s="277"/>
      <c r="U149" s="277"/>
      <c r="V149" s="277"/>
      <c r="W149" s="277"/>
    </row>
    <row r="150" spans="1:23" s="278" customFormat="1" ht="22.5" customHeight="1" x14ac:dyDescent="0.2">
      <c r="A150" s="294"/>
      <c r="B150" s="308"/>
      <c r="C150" s="308"/>
      <c r="D150" s="434"/>
      <c r="E150" s="179"/>
      <c r="F150" s="204"/>
      <c r="G150" s="205"/>
      <c r="H150" s="302"/>
      <c r="I150" s="308"/>
      <c r="J150" s="308"/>
      <c r="K150" s="302"/>
      <c r="L150" s="308"/>
      <c r="M150" s="308"/>
      <c r="N150" s="308"/>
      <c r="O150" s="308"/>
      <c r="P150" s="277"/>
      <c r="Q150" s="277"/>
      <c r="R150" s="277"/>
      <c r="S150" s="277"/>
      <c r="T150" s="277"/>
      <c r="U150" s="277"/>
      <c r="V150" s="277"/>
      <c r="W150" s="277"/>
    </row>
    <row r="151" spans="1:23" s="278" customFormat="1" ht="22.5" customHeight="1" x14ac:dyDescent="0.2">
      <c r="A151" s="294"/>
      <c r="B151" s="308"/>
      <c r="C151" s="308"/>
      <c r="D151" s="434"/>
      <c r="E151" s="180"/>
      <c r="F151" s="202"/>
      <c r="G151" s="203"/>
      <c r="H151" s="302"/>
      <c r="I151" s="308"/>
      <c r="J151" s="308"/>
      <c r="K151" s="302"/>
      <c r="L151" s="308"/>
      <c r="M151" s="308"/>
      <c r="N151" s="308"/>
      <c r="O151" s="308"/>
      <c r="P151" s="277"/>
      <c r="Q151" s="277"/>
      <c r="R151" s="277"/>
      <c r="S151" s="277"/>
      <c r="T151" s="277"/>
      <c r="U151" s="277"/>
      <c r="V151" s="277"/>
      <c r="W151" s="277"/>
    </row>
    <row r="152" spans="1:23" s="278" customFormat="1" ht="22.5" customHeight="1" x14ac:dyDescent="0.2">
      <c r="A152" s="294"/>
      <c r="B152" s="308"/>
      <c r="C152" s="308"/>
      <c r="D152" s="434"/>
      <c r="E152" s="179"/>
      <c r="F152" s="204"/>
      <c r="G152" s="205"/>
      <c r="H152" s="302"/>
      <c r="I152" s="308"/>
      <c r="J152" s="308"/>
      <c r="K152" s="302"/>
      <c r="L152" s="308"/>
      <c r="M152" s="308"/>
      <c r="N152" s="308"/>
      <c r="O152" s="308"/>
      <c r="P152" s="277"/>
      <c r="Q152" s="277"/>
      <c r="R152" s="277"/>
      <c r="S152" s="277"/>
      <c r="T152" s="277"/>
      <c r="U152" s="277"/>
      <c r="V152" s="277"/>
      <c r="W152" s="277"/>
    </row>
    <row r="153" spans="1:23" s="278" customFormat="1" ht="22.5" customHeight="1" x14ac:dyDescent="0.2">
      <c r="A153" s="294"/>
      <c r="B153" s="308"/>
      <c r="C153" s="308"/>
      <c r="D153" s="434"/>
      <c r="E153" s="180"/>
      <c r="F153" s="202"/>
      <c r="G153" s="203"/>
      <c r="H153" s="302"/>
      <c r="I153" s="308"/>
      <c r="J153" s="308"/>
      <c r="K153" s="302"/>
      <c r="L153" s="308"/>
      <c r="M153" s="308"/>
      <c r="N153" s="308"/>
      <c r="O153" s="308"/>
      <c r="P153" s="277"/>
      <c r="Q153" s="277"/>
      <c r="R153" s="277"/>
      <c r="S153" s="277"/>
      <c r="T153" s="277"/>
      <c r="U153" s="277"/>
      <c r="V153" s="277"/>
      <c r="W153" s="277"/>
    </row>
    <row r="154" spans="1:23" s="278" customFormat="1" ht="22.5" customHeight="1" x14ac:dyDescent="0.2">
      <c r="A154" s="294"/>
      <c r="B154" s="308"/>
      <c r="C154" s="308"/>
      <c r="D154" s="434"/>
      <c r="E154" s="179"/>
      <c r="F154" s="204"/>
      <c r="G154" s="205"/>
      <c r="H154" s="302"/>
      <c r="I154" s="308"/>
      <c r="J154" s="308"/>
      <c r="K154" s="302"/>
      <c r="L154" s="308"/>
      <c r="M154" s="308"/>
      <c r="N154" s="308"/>
      <c r="O154" s="308"/>
      <c r="P154" s="277"/>
      <c r="Q154" s="277"/>
      <c r="R154" s="277"/>
      <c r="S154" s="277"/>
      <c r="T154" s="277"/>
      <c r="U154" s="277"/>
      <c r="V154" s="277"/>
      <c r="W154" s="277"/>
    </row>
    <row r="155" spans="1:23" s="278" customFormat="1" ht="22.5" customHeight="1" x14ac:dyDescent="0.2">
      <c r="A155" s="294"/>
      <c r="B155" s="308"/>
      <c r="C155" s="308"/>
      <c r="D155" s="434"/>
      <c r="E155" s="180"/>
      <c r="F155" s="202"/>
      <c r="G155" s="203"/>
      <c r="H155" s="302"/>
      <c r="I155" s="308"/>
      <c r="J155" s="308"/>
      <c r="K155" s="302"/>
      <c r="L155" s="308"/>
      <c r="M155" s="308"/>
      <c r="N155" s="308"/>
      <c r="O155" s="308"/>
      <c r="P155" s="277"/>
      <c r="Q155" s="277"/>
      <c r="R155" s="277"/>
      <c r="S155" s="277"/>
      <c r="T155" s="277"/>
      <c r="U155" s="277"/>
      <c r="V155" s="277"/>
      <c r="W155" s="277"/>
    </row>
    <row r="156" spans="1:23" s="278" customFormat="1" ht="22.5" customHeight="1" x14ac:dyDescent="0.2">
      <c r="A156" s="294"/>
      <c r="B156" s="308"/>
      <c r="C156" s="308"/>
      <c r="D156" s="434"/>
      <c r="E156" s="179"/>
      <c r="F156" s="204"/>
      <c r="G156" s="205"/>
      <c r="H156" s="302"/>
      <c r="I156" s="308"/>
      <c r="J156" s="308"/>
      <c r="K156" s="302"/>
      <c r="L156" s="308"/>
      <c r="M156" s="308"/>
      <c r="N156" s="308"/>
      <c r="O156" s="308"/>
      <c r="P156" s="277"/>
      <c r="Q156" s="277"/>
      <c r="R156" s="277"/>
      <c r="S156" s="277"/>
      <c r="T156" s="277"/>
      <c r="U156" s="277"/>
      <c r="V156" s="277"/>
      <c r="W156" s="277"/>
    </row>
    <row r="157" spans="1:23" s="278" customFormat="1" ht="22.5" customHeight="1" x14ac:dyDescent="0.2">
      <c r="A157" s="294"/>
      <c r="B157" s="308"/>
      <c r="C157" s="308"/>
      <c r="D157" s="434"/>
      <c r="E157" s="180"/>
      <c r="F157" s="202"/>
      <c r="G157" s="203"/>
      <c r="H157" s="302"/>
      <c r="I157" s="308"/>
      <c r="J157" s="308"/>
      <c r="K157" s="302"/>
      <c r="L157" s="308"/>
      <c r="M157" s="308"/>
      <c r="N157" s="308"/>
      <c r="O157" s="308"/>
      <c r="P157" s="277"/>
      <c r="Q157" s="277"/>
      <c r="R157" s="277"/>
      <c r="S157" s="277"/>
      <c r="T157" s="277"/>
      <c r="U157" s="277"/>
      <c r="V157" s="277"/>
      <c r="W157" s="277"/>
    </row>
    <row r="158" spans="1:23" s="278" customFormat="1" ht="22.5" customHeight="1" x14ac:dyDescent="0.2">
      <c r="A158" s="294"/>
      <c r="B158" s="308"/>
      <c r="C158" s="308"/>
      <c r="D158" s="434"/>
      <c r="E158" s="179"/>
      <c r="F158" s="204"/>
      <c r="G158" s="205"/>
      <c r="H158" s="302"/>
      <c r="I158" s="308"/>
      <c r="J158" s="308"/>
      <c r="K158" s="302"/>
      <c r="L158" s="308"/>
      <c r="M158" s="308"/>
      <c r="N158" s="308"/>
      <c r="O158" s="308"/>
      <c r="P158" s="277"/>
      <c r="Q158" s="277"/>
      <c r="R158" s="277"/>
      <c r="S158" s="277"/>
      <c r="T158" s="277"/>
      <c r="U158" s="277"/>
      <c r="V158" s="277"/>
      <c r="W158" s="277"/>
    </row>
    <row r="159" spans="1:23" s="278" customFormat="1" ht="22.5" customHeight="1" x14ac:dyDescent="0.2">
      <c r="A159" s="294"/>
      <c r="B159" s="308"/>
      <c r="C159" s="308"/>
      <c r="D159" s="434"/>
      <c r="E159" s="180"/>
      <c r="F159" s="202"/>
      <c r="G159" s="203"/>
      <c r="H159" s="302"/>
      <c r="I159" s="308"/>
      <c r="J159" s="308"/>
      <c r="K159" s="302"/>
      <c r="L159" s="308"/>
      <c r="M159" s="308"/>
      <c r="N159" s="308"/>
      <c r="O159" s="308"/>
      <c r="P159" s="277"/>
      <c r="Q159" s="277"/>
      <c r="R159" s="277"/>
      <c r="S159" s="277"/>
      <c r="T159" s="277"/>
      <c r="U159" s="277"/>
      <c r="V159" s="277"/>
      <c r="W159" s="277"/>
    </row>
    <row r="160" spans="1:23" s="278" customFormat="1" ht="22.5" customHeight="1" x14ac:dyDescent="0.2">
      <c r="A160" s="294"/>
      <c r="B160" s="308"/>
      <c r="C160" s="308"/>
      <c r="D160" s="434"/>
      <c r="E160" s="179"/>
      <c r="F160" s="204"/>
      <c r="G160" s="205"/>
      <c r="H160" s="302"/>
      <c r="I160" s="308"/>
      <c r="J160" s="308"/>
      <c r="K160" s="302"/>
      <c r="L160" s="308"/>
      <c r="M160" s="308"/>
      <c r="N160" s="308"/>
      <c r="O160" s="308"/>
      <c r="P160" s="277"/>
      <c r="Q160" s="277"/>
      <c r="R160" s="277"/>
      <c r="S160" s="277"/>
      <c r="T160" s="277"/>
      <c r="U160" s="277"/>
      <c r="V160" s="277"/>
      <c r="W160" s="277"/>
    </row>
    <row r="161" spans="1:23" s="278" customFormat="1" ht="22.5" customHeight="1" x14ac:dyDescent="0.2">
      <c r="A161" s="294"/>
      <c r="B161" s="308"/>
      <c r="C161" s="308"/>
      <c r="D161" s="434"/>
      <c r="E161" s="180"/>
      <c r="F161" s="202"/>
      <c r="G161" s="203"/>
      <c r="H161" s="302"/>
      <c r="I161" s="308"/>
      <c r="J161" s="308"/>
      <c r="K161" s="302"/>
      <c r="L161" s="308"/>
      <c r="M161" s="308"/>
      <c r="N161" s="308"/>
      <c r="O161" s="308"/>
      <c r="P161" s="277"/>
      <c r="Q161" s="277"/>
      <c r="R161" s="277"/>
      <c r="S161" s="277"/>
      <c r="T161" s="277"/>
      <c r="U161" s="277"/>
      <c r="V161" s="277"/>
      <c r="W161" s="277"/>
    </row>
    <row r="162" spans="1:23" s="278" customFormat="1" ht="22.5" customHeight="1" x14ac:dyDescent="0.2">
      <c r="A162" s="294"/>
      <c r="B162" s="308"/>
      <c r="C162" s="308"/>
      <c r="D162" s="434"/>
      <c r="E162" s="179"/>
      <c r="F162" s="204"/>
      <c r="G162" s="205"/>
      <c r="H162" s="302"/>
      <c r="I162" s="308"/>
      <c r="J162" s="308"/>
      <c r="K162" s="302"/>
      <c r="L162" s="308"/>
      <c r="M162" s="308"/>
      <c r="N162" s="308"/>
      <c r="O162" s="308"/>
      <c r="P162" s="277"/>
      <c r="Q162" s="277"/>
      <c r="R162" s="277"/>
      <c r="S162" s="277"/>
      <c r="T162" s="277"/>
      <c r="U162" s="277"/>
      <c r="V162" s="277"/>
      <c r="W162" s="277"/>
    </row>
    <row r="163" spans="1:23" s="278" customFormat="1" ht="22.5" customHeight="1" x14ac:dyDescent="0.2">
      <c r="A163" s="294"/>
      <c r="B163" s="308"/>
      <c r="C163" s="308"/>
      <c r="D163" s="434"/>
      <c r="E163" s="180"/>
      <c r="F163" s="202"/>
      <c r="G163" s="203"/>
      <c r="H163" s="302"/>
      <c r="I163" s="308"/>
      <c r="J163" s="308"/>
      <c r="K163" s="302"/>
      <c r="L163" s="308"/>
      <c r="M163" s="308"/>
      <c r="N163" s="308"/>
      <c r="O163" s="308"/>
      <c r="P163" s="277"/>
      <c r="Q163" s="277"/>
      <c r="R163" s="277"/>
      <c r="S163" s="277"/>
      <c r="T163" s="277"/>
      <c r="U163" s="277"/>
      <c r="V163" s="277"/>
      <c r="W163" s="277"/>
    </row>
    <row r="164" spans="1:23" s="278" customFormat="1" ht="22.5" customHeight="1" x14ac:dyDescent="0.2">
      <c r="A164" s="294"/>
      <c r="B164" s="308"/>
      <c r="C164" s="308"/>
      <c r="D164" s="434"/>
      <c r="E164" s="179"/>
      <c r="F164" s="204"/>
      <c r="G164" s="205"/>
      <c r="H164" s="302"/>
      <c r="I164" s="308"/>
      <c r="J164" s="308"/>
      <c r="K164" s="302"/>
      <c r="L164" s="308"/>
      <c r="M164" s="308"/>
      <c r="N164" s="308"/>
      <c r="O164" s="308"/>
      <c r="P164" s="277"/>
      <c r="Q164" s="277"/>
      <c r="R164" s="277"/>
      <c r="S164" s="277"/>
      <c r="T164" s="277"/>
      <c r="U164" s="277"/>
      <c r="V164" s="277"/>
      <c r="W164" s="277"/>
    </row>
    <row r="165" spans="1:23" s="278" customFormat="1" ht="22.5" customHeight="1" x14ac:dyDescent="0.2">
      <c r="A165" s="294"/>
      <c r="B165" s="308"/>
      <c r="C165" s="308"/>
      <c r="D165" s="434"/>
      <c r="E165" s="180"/>
      <c r="F165" s="202"/>
      <c r="G165" s="203"/>
      <c r="H165" s="302"/>
      <c r="I165" s="308"/>
      <c r="J165" s="308"/>
      <c r="K165" s="302"/>
      <c r="L165" s="308"/>
      <c r="M165" s="308"/>
      <c r="N165" s="308"/>
      <c r="O165" s="308"/>
      <c r="P165" s="277"/>
      <c r="Q165" s="277"/>
      <c r="R165" s="277"/>
      <c r="S165" s="277"/>
      <c r="T165" s="277"/>
      <c r="U165" s="277"/>
      <c r="V165" s="277"/>
      <c r="W165" s="277"/>
    </row>
    <row r="166" spans="1:23" s="278" customFormat="1" ht="22.5" customHeight="1" x14ac:dyDescent="0.2">
      <c r="A166" s="294"/>
      <c r="B166" s="308"/>
      <c r="C166" s="308"/>
      <c r="D166" s="434"/>
      <c r="E166" s="179"/>
      <c r="F166" s="204"/>
      <c r="G166" s="205"/>
      <c r="H166" s="302"/>
      <c r="I166" s="308"/>
      <c r="J166" s="308"/>
      <c r="K166" s="302"/>
      <c r="L166" s="308"/>
      <c r="M166" s="308"/>
      <c r="N166" s="308"/>
      <c r="O166" s="308"/>
      <c r="P166" s="277"/>
      <c r="Q166" s="277"/>
      <c r="R166" s="277"/>
      <c r="S166" s="277"/>
      <c r="T166" s="277"/>
      <c r="U166" s="277"/>
      <c r="V166" s="277"/>
      <c r="W166" s="277"/>
    </row>
    <row r="167" spans="1:23" s="278" customFormat="1" ht="22.5" customHeight="1" x14ac:dyDescent="0.2">
      <c r="A167" s="294"/>
      <c r="B167" s="308"/>
      <c r="C167" s="308"/>
      <c r="D167" s="434"/>
      <c r="E167" s="180"/>
      <c r="F167" s="202"/>
      <c r="G167" s="203"/>
      <c r="H167" s="302"/>
      <c r="I167" s="308"/>
      <c r="J167" s="308"/>
      <c r="K167" s="302"/>
      <c r="L167" s="308"/>
      <c r="M167" s="308"/>
      <c r="N167" s="308"/>
      <c r="O167" s="308"/>
      <c r="P167" s="277"/>
      <c r="Q167" s="277"/>
      <c r="R167" s="277"/>
      <c r="S167" s="277"/>
      <c r="T167" s="277"/>
      <c r="U167" s="277"/>
      <c r="V167" s="277"/>
      <c r="W167" s="277"/>
    </row>
    <row r="168" spans="1:23" s="278" customFormat="1" ht="22.5" customHeight="1" x14ac:dyDescent="0.2">
      <c r="A168" s="294"/>
      <c r="B168" s="308"/>
      <c r="C168" s="308"/>
      <c r="D168" s="434"/>
      <c r="E168" s="179"/>
      <c r="F168" s="204"/>
      <c r="G168" s="205"/>
      <c r="H168" s="302"/>
      <c r="I168" s="308"/>
      <c r="J168" s="308"/>
      <c r="K168" s="302"/>
      <c r="L168" s="308"/>
      <c r="M168" s="308"/>
      <c r="N168" s="308"/>
      <c r="O168" s="308"/>
      <c r="P168" s="277"/>
      <c r="Q168" s="277"/>
      <c r="R168" s="277"/>
      <c r="S168" s="277"/>
      <c r="T168" s="277"/>
      <c r="U168" s="277"/>
      <c r="V168" s="277"/>
      <c r="W168" s="277"/>
    </row>
    <row r="169" spans="1:23" s="278" customFormat="1" ht="22.5" customHeight="1" x14ac:dyDescent="0.2">
      <c r="A169" s="294"/>
      <c r="B169" s="308"/>
      <c r="C169" s="308"/>
      <c r="D169" s="434"/>
      <c r="E169" s="180"/>
      <c r="F169" s="202"/>
      <c r="G169" s="203"/>
      <c r="H169" s="302"/>
      <c r="I169" s="308"/>
      <c r="J169" s="308"/>
      <c r="K169" s="302"/>
      <c r="L169" s="308"/>
      <c r="M169" s="308"/>
      <c r="N169" s="308"/>
      <c r="O169" s="308"/>
      <c r="P169" s="277"/>
      <c r="Q169" s="277"/>
      <c r="R169" s="277"/>
      <c r="S169" s="277"/>
      <c r="T169" s="277"/>
      <c r="U169" s="277"/>
      <c r="V169" s="277"/>
      <c r="W169" s="277"/>
    </row>
    <row r="170" spans="1:23" s="278" customFormat="1" ht="22.5" customHeight="1" x14ac:dyDescent="0.2">
      <c r="A170" s="294"/>
      <c r="B170" s="308"/>
      <c r="C170" s="308"/>
      <c r="D170" s="434"/>
      <c r="E170" s="179"/>
      <c r="F170" s="204"/>
      <c r="G170" s="205"/>
      <c r="H170" s="302"/>
      <c r="I170" s="308"/>
      <c r="J170" s="308"/>
      <c r="K170" s="302"/>
      <c r="L170" s="308"/>
      <c r="M170" s="308"/>
      <c r="N170" s="308"/>
      <c r="O170" s="308"/>
      <c r="P170" s="277"/>
      <c r="Q170" s="277"/>
      <c r="R170" s="277"/>
      <c r="S170" s="277"/>
      <c r="T170" s="277"/>
      <c r="U170" s="277"/>
      <c r="V170" s="277"/>
      <c r="W170" s="277"/>
    </row>
    <row r="171" spans="1:23" s="278" customFormat="1" ht="22.5" customHeight="1" x14ac:dyDescent="0.2">
      <c r="A171" s="294"/>
      <c r="B171" s="308"/>
      <c r="C171" s="308"/>
      <c r="D171" s="434"/>
      <c r="E171" s="180"/>
      <c r="F171" s="202"/>
      <c r="G171" s="203"/>
      <c r="H171" s="302"/>
      <c r="I171" s="308"/>
      <c r="J171" s="308"/>
      <c r="K171" s="302"/>
      <c r="L171" s="308"/>
      <c r="M171" s="308"/>
      <c r="N171" s="308"/>
      <c r="O171" s="308"/>
      <c r="P171" s="277"/>
      <c r="Q171" s="277"/>
      <c r="R171" s="277"/>
      <c r="S171" s="277"/>
      <c r="T171" s="277"/>
      <c r="U171" s="277"/>
      <c r="V171" s="277"/>
      <c r="W171" s="277"/>
    </row>
    <row r="172" spans="1:23" s="278" customFormat="1" ht="22.5" customHeight="1" x14ac:dyDescent="0.2">
      <c r="A172" s="294"/>
      <c r="B172" s="308"/>
      <c r="C172" s="308"/>
      <c r="D172" s="434"/>
      <c r="E172" s="179"/>
      <c r="F172" s="204"/>
      <c r="G172" s="205"/>
      <c r="H172" s="302"/>
      <c r="I172" s="308"/>
      <c r="J172" s="308"/>
      <c r="K172" s="302"/>
      <c r="L172" s="308"/>
      <c r="M172" s="308"/>
      <c r="N172" s="308"/>
      <c r="O172" s="308"/>
      <c r="P172" s="277"/>
      <c r="Q172" s="277"/>
      <c r="R172" s="277"/>
      <c r="S172" s="277"/>
      <c r="T172" s="277"/>
      <c r="U172" s="277"/>
      <c r="V172" s="277"/>
      <c r="W172" s="277"/>
    </row>
    <row r="173" spans="1:23" s="278" customFormat="1" ht="22.5" customHeight="1" x14ac:dyDescent="0.2">
      <c r="A173" s="294"/>
      <c r="B173" s="308"/>
      <c r="C173" s="308"/>
      <c r="D173" s="434"/>
      <c r="E173" s="180"/>
      <c r="F173" s="202"/>
      <c r="G173" s="203"/>
      <c r="H173" s="302"/>
      <c r="I173" s="308"/>
      <c r="J173" s="308"/>
      <c r="K173" s="302"/>
      <c r="L173" s="308"/>
      <c r="M173" s="308"/>
      <c r="N173" s="308"/>
      <c r="O173" s="308"/>
      <c r="P173" s="277"/>
      <c r="Q173" s="277"/>
      <c r="R173" s="277"/>
      <c r="S173" s="277"/>
      <c r="T173" s="277"/>
      <c r="U173" s="277"/>
      <c r="V173" s="277"/>
      <c r="W173" s="277"/>
    </row>
    <row r="174" spans="1:23" s="278" customFormat="1" ht="22.5" customHeight="1" x14ac:dyDescent="0.2">
      <c r="A174" s="294"/>
      <c r="B174" s="308"/>
      <c r="C174" s="308"/>
      <c r="D174" s="434"/>
      <c r="E174" s="179"/>
      <c r="F174" s="204"/>
      <c r="G174" s="205"/>
      <c r="H174" s="302"/>
      <c r="I174" s="308"/>
      <c r="J174" s="308"/>
      <c r="K174" s="302"/>
      <c r="L174" s="308"/>
      <c r="M174" s="308"/>
      <c r="N174" s="308"/>
      <c r="O174" s="308"/>
      <c r="P174" s="277"/>
      <c r="Q174" s="277"/>
      <c r="R174" s="277"/>
      <c r="S174" s="277"/>
      <c r="T174" s="277"/>
      <c r="U174" s="277"/>
      <c r="V174" s="277"/>
      <c r="W174" s="277"/>
    </row>
    <row r="175" spans="1:23" s="278" customFormat="1" ht="22.5" customHeight="1" x14ac:dyDescent="0.2">
      <c r="A175" s="294"/>
      <c r="B175" s="308"/>
      <c r="C175" s="308"/>
      <c r="D175" s="434"/>
      <c r="E175" s="180"/>
      <c r="F175" s="202"/>
      <c r="G175" s="203"/>
      <c r="H175" s="302"/>
      <c r="I175" s="308"/>
      <c r="J175" s="308"/>
      <c r="K175" s="302"/>
      <c r="L175" s="308"/>
      <c r="M175" s="308"/>
      <c r="N175" s="308"/>
      <c r="O175" s="308"/>
      <c r="P175" s="277"/>
      <c r="Q175" s="277"/>
      <c r="R175" s="277"/>
      <c r="S175" s="277"/>
      <c r="T175" s="277"/>
      <c r="U175" s="277"/>
      <c r="V175" s="277"/>
      <c r="W175" s="277"/>
    </row>
    <row r="176" spans="1:23" s="278" customFormat="1" ht="22.5" customHeight="1" x14ac:dyDescent="0.2">
      <c r="A176" s="294"/>
      <c r="B176" s="308"/>
      <c r="C176" s="308"/>
      <c r="D176" s="434"/>
      <c r="E176" s="179"/>
      <c r="F176" s="204"/>
      <c r="G176" s="205"/>
      <c r="H176" s="302"/>
      <c r="I176" s="308"/>
      <c r="J176" s="308"/>
      <c r="K176" s="302"/>
      <c r="L176" s="308"/>
      <c r="M176" s="308"/>
      <c r="N176" s="308"/>
      <c r="O176" s="308"/>
      <c r="P176" s="277"/>
      <c r="Q176" s="277"/>
      <c r="R176" s="277"/>
      <c r="S176" s="277"/>
      <c r="T176" s="277"/>
      <c r="U176" s="277"/>
      <c r="V176" s="277"/>
      <c r="W176" s="277"/>
    </row>
    <row r="177" spans="1:23" s="278" customFormat="1" ht="22.5" customHeight="1" x14ac:dyDescent="0.2">
      <c r="A177" s="294"/>
      <c r="B177" s="308"/>
      <c r="C177" s="308"/>
      <c r="D177" s="434"/>
      <c r="E177" s="180"/>
      <c r="F177" s="202"/>
      <c r="G177" s="203"/>
      <c r="H177" s="302"/>
      <c r="I177" s="308"/>
      <c r="J177" s="308"/>
      <c r="K177" s="302"/>
      <c r="L177" s="308"/>
      <c r="M177" s="308"/>
      <c r="N177" s="308"/>
      <c r="O177" s="308"/>
      <c r="P177" s="277"/>
      <c r="Q177" s="277"/>
      <c r="R177" s="277"/>
      <c r="S177" s="277"/>
      <c r="T177" s="277"/>
      <c r="U177" s="277"/>
      <c r="V177" s="277"/>
      <c r="W177" s="277"/>
    </row>
    <row r="178" spans="1:23" s="278" customFormat="1" ht="22.5" customHeight="1" x14ac:dyDescent="0.2">
      <c r="A178" s="294"/>
      <c r="B178" s="308"/>
      <c r="C178" s="308"/>
      <c r="D178" s="434"/>
      <c r="E178" s="179"/>
      <c r="F178" s="204"/>
      <c r="G178" s="205"/>
      <c r="H178" s="302"/>
      <c r="I178" s="308"/>
      <c r="J178" s="308"/>
      <c r="K178" s="302"/>
      <c r="L178" s="308"/>
      <c r="M178" s="308"/>
      <c r="N178" s="308"/>
      <c r="O178" s="308"/>
      <c r="P178" s="277"/>
      <c r="Q178" s="277"/>
      <c r="R178" s="277"/>
      <c r="S178" s="277"/>
      <c r="T178" s="277"/>
      <c r="U178" s="277"/>
      <c r="V178" s="277"/>
      <c r="W178" s="277"/>
    </row>
    <row r="179" spans="1:23" s="278" customFormat="1" ht="22.5" customHeight="1" x14ac:dyDescent="0.2">
      <c r="A179" s="294"/>
      <c r="B179" s="308"/>
      <c r="C179" s="308"/>
      <c r="D179" s="434"/>
      <c r="E179" s="180"/>
      <c r="F179" s="202"/>
      <c r="G179" s="203"/>
      <c r="H179" s="302"/>
      <c r="I179" s="308"/>
      <c r="J179" s="308"/>
      <c r="K179" s="302"/>
      <c r="L179" s="308"/>
      <c r="M179" s="308"/>
      <c r="N179" s="308"/>
      <c r="O179" s="308"/>
      <c r="P179" s="277"/>
      <c r="Q179" s="277"/>
      <c r="R179" s="277"/>
      <c r="S179" s="277"/>
      <c r="T179" s="277"/>
      <c r="U179" s="277"/>
      <c r="V179" s="277"/>
      <c r="W179" s="277"/>
    </row>
    <row r="180" spans="1:23" s="278" customFormat="1" ht="22.5" customHeight="1" x14ac:dyDescent="0.2">
      <c r="A180" s="294"/>
      <c r="B180" s="308"/>
      <c r="C180" s="308"/>
      <c r="D180" s="434"/>
      <c r="E180" s="179"/>
      <c r="F180" s="204"/>
      <c r="G180" s="205"/>
      <c r="H180" s="302"/>
      <c r="I180" s="308"/>
      <c r="J180" s="308"/>
      <c r="K180" s="302"/>
      <c r="L180" s="308"/>
      <c r="M180" s="308"/>
      <c r="N180" s="308"/>
      <c r="O180" s="308"/>
      <c r="P180" s="277"/>
      <c r="Q180" s="277"/>
      <c r="R180" s="277"/>
      <c r="S180" s="277"/>
      <c r="T180" s="277"/>
      <c r="U180" s="277"/>
      <c r="V180" s="277"/>
      <c r="W180" s="277"/>
    </row>
    <row r="181" spans="1:23" s="278" customFormat="1" ht="22.5" customHeight="1" x14ac:dyDescent="0.2">
      <c r="A181" s="294"/>
      <c r="B181" s="308"/>
      <c r="C181" s="308"/>
      <c r="D181" s="434"/>
      <c r="E181" s="180"/>
      <c r="F181" s="202"/>
      <c r="G181" s="203"/>
      <c r="H181" s="302"/>
      <c r="I181" s="308"/>
      <c r="J181" s="308"/>
      <c r="K181" s="302"/>
      <c r="L181" s="308"/>
      <c r="M181" s="308"/>
      <c r="N181" s="308"/>
      <c r="O181" s="308"/>
      <c r="P181" s="277"/>
      <c r="Q181" s="277"/>
      <c r="R181" s="277"/>
      <c r="S181" s="277"/>
      <c r="T181" s="277"/>
      <c r="U181" s="277"/>
      <c r="V181" s="277"/>
      <c r="W181" s="277"/>
    </row>
    <row r="182" spans="1:23" s="278" customFormat="1" ht="22.5" customHeight="1" x14ac:dyDescent="0.2">
      <c r="A182" s="294"/>
      <c r="B182" s="308"/>
      <c r="C182" s="308"/>
      <c r="D182" s="434"/>
      <c r="E182" s="179"/>
      <c r="F182" s="204"/>
      <c r="G182" s="205"/>
      <c r="H182" s="302"/>
      <c r="I182" s="308"/>
      <c r="J182" s="308"/>
      <c r="K182" s="302"/>
      <c r="L182" s="308"/>
      <c r="M182" s="308"/>
      <c r="N182" s="308"/>
      <c r="O182" s="308"/>
      <c r="P182" s="277"/>
      <c r="Q182" s="277"/>
      <c r="R182" s="277"/>
      <c r="S182" s="277"/>
      <c r="T182" s="277"/>
      <c r="U182" s="277"/>
      <c r="V182" s="277"/>
      <c r="W182" s="277"/>
    </row>
    <row r="183" spans="1:23" s="278" customFormat="1" ht="22.5" customHeight="1" x14ac:dyDescent="0.2">
      <c r="A183" s="294"/>
      <c r="B183" s="308"/>
      <c r="C183" s="308"/>
      <c r="D183" s="434"/>
      <c r="E183" s="180"/>
      <c r="F183" s="202"/>
      <c r="G183" s="203"/>
      <c r="H183" s="302"/>
      <c r="I183" s="308"/>
      <c r="J183" s="308"/>
      <c r="K183" s="302"/>
      <c r="L183" s="308"/>
      <c r="M183" s="308"/>
      <c r="N183" s="308"/>
      <c r="O183" s="308"/>
      <c r="P183" s="277"/>
      <c r="Q183" s="277"/>
      <c r="R183" s="277"/>
      <c r="S183" s="277"/>
      <c r="T183" s="277"/>
      <c r="U183" s="277"/>
      <c r="V183" s="277"/>
      <c r="W183" s="277"/>
    </row>
    <row r="184" spans="1:23" s="278" customFormat="1" ht="22.5" customHeight="1" x14ac:dyDescent="0.2">
      <c r="A184" s="294"/>
      <c r="B184" s="308"/>
      <c r="C184" s="308"/>
      <c r="D184" s="434"/>
      <c r="E184" s="179"/>
      <c r="F184" s="204"/>
      <c r="G184" s="205"/>
      <c r="H184" s="302"/>
      <c r="I184" s="308"/>
      <c r="J184" s="308"/>
      <c r="K184" s="302"/>
      <c r="L184" s="308"/>
      <c r="M184" s="308"/>
      <c r="N184" s="308"/>
      <c r="O184" s="308"/>
      <c r="P184" s="277"/>
      <c r="Q184" s="277"/>
      <c r="R184" s="277"/>
      <c r="S184" s="277"/>
      <c r="T184" s="277"/>
      <c r="U184" s="277"/>
      <c r="V184" s="277"/>
      <c r="W184" s="277"/>
    </row>
    <row r="185" spans="1:23" s="278" customFormat="1" ht="22.5" customHeight="1" x14ac:dyDescent="0.2">
      <c r="A185" s="294"/>
      <c r="B185" s="308"/>
      <c r="C185" s="308"/>
      <c r="D185" s="434"/>
      <c r="E185" s="180"/>
      <c r="F185" s="202"/>
      <c r="G185" s="203"/>
      <c r="H185" s="302"/>
      <c r="I185" s="308"/>
      <c r="J185" s="308"/>
      <c r="K185" s="302"/>
      <c r="L185" s="308"/>
      <c r="M185" s="308"/>
      <c r="N185" s="308"/>
      <c r="O185" s="308"/>
      <c r="P185" s="277"/>
      <c r="Q185" s="277"/>
      <c r="R185" s="277"/>
      <c r="S185" s="277"/>
      <c r="T185" s="277"/>
      <c r="U185" s="277"/>
      <c r="V185" s="277"/>
      <c r="W185" s="277"/>
    </row>
    <row r="186" spans="1:23" s="278" customFormat="1" ht="22.5" customHeight="1" x14ac:dyDescent="0.2">
      <c r="A186" s="294"/>
      <c r="B186" s="308"/>
      <c r="C186" s="308"/>
      <c r="D186" s="434"/>
      <c r="E186" s="179"/>
      <c r="F186" s="204"/>
      <c r="G186" s="205"/>
      <c r="H186" s="302"/>
      <c r="I186" s="308"/>
      <c r="J186" s="308"/>
      <c r="K186" s="302"/>
      <c r="L186" s="308"/>
      <c r="M186" s="308"/>
      <c r="N186" s="308"/>
      <c r="O186" s="308"/>
      <c r="P186" s="277"/>
      <c r="Q186" s="277"/>
      <c r="R186" s="277"/>
      <c r="S186" s="277"/>
      <c r="T186" s="277"/>
      <c r="U186" s="277"/>
      <c r="V186" s="277"/>
      <c r="W186" s="277"/>
    </row>
    <row r="187" spans="1:23" s="278" customFormat="1" ht="22.5" customHeight="1" x14ac:dyDescent="0.2">
      <c r="A187" s="294"/>
      <c r="B187" s="308"/>
      <c r="C187" s="308"/>
      <c r="D187" s="434"/>
      <c r="E187" s="180"/>
      <c r="F187" s="202"/>
      <c r="G187" s="203"/>
      <c r="H187" s="302"/>
      <c r="I187" s="308"/>
      <c r="J187" s="308"/>
      <c r="K187" s="302"/>
      <c r="L187" s="308"/>
      <c r="M187" s="308"/>
      <c r="N187" s="308"/>
      <c r="O187" s="308"/>
      <c r="P187" s="277"/>
      <c r="Q187" s="277"/>
      <c r="R187" s="277"/>
      <c r="S187" s="277"/>
      <c r="T187" s="277"/>
      <c r="U187" s="277"/>
      <c r="V187" s="277"/>
      <c r="W187" s="277"/>
    </row>
    <row r="188" spans="1:23" s="278" customFormat="1" ht="22.5" customHeight="1" x14ac:dyDescent="0.2">
      <c r="A188" s="294"/>
      <c r="B188" s="308"/>
      <c r="C188" s="308"/>
      <c r="D188" s="434"/>
      <c r="E188" s="179"/>
      <c r="F188" s="204"/>
      <c r="G188" s="205"/>
      <c r="H188" s="302"/>
      <c r="I188" s="308"/>
      <c r="J188" s="308"/>
      <c r="K188" s="302"/>
      <c r="L188" s="308"/>
      <c r="M188" s="308"/>
      <c r="N188" s="308"/>
      <c r="O188" s="308"/>
      <c r="P188" s="277"/>
      <c r="Q188" s="277"/>
      <c r="R188" s="277"/>
      <c r="S188" s="277"/>
      <c r="T188" s="277"/>
      <c r="U188" s="277"/>
      <c r="V188" s="277"/>
      <c r="W188" s="277"/>
    </row>
    <row r="189" spans="1:23" s="278" customFormat="1" ht="22.5" customHeight="1" x14ac:dyDescent="0.2">
      <c r="A189" s="294"/>
      <c r="B189" s="308"/>
      <c r="C189" s="308"/>
      <c r="D189" s="434"/>
      <c r="E189" s="180"/>
      <c r="F189" s="202"/>
      <c r="G189" s="203"/>
      <c r="H189" s="302"/>
      <c r="I189" s="308"/>
      <c r="J189" s="308"/>
      <c r="K189" s="302"/>
      <c r="L189" s="308"/>
      <c r="M189" s="308"/>
      <c r="N189" s="308"/>
      <c r="O189" s="308"/>
      <c r="P189" s="277"/>
      <c r="Q189" s="277"/>
      <c r="R189" s="277"/>
      <c r="S189" s="277"/>
      <c r="T189" s="277"/>
      <c r="U189" s="277"/>
      <c r="V189" s="277"/>
      <c r="W189" s="277"/>
    </row>
    <row r="190" spans="1:23" s="278" customFormat="1" ht="22.5" customHeight="1" x14ac:dyDescent="0.2">
      <c r="A190" s="294"/>
      <c r="B190" s="308"/>
      <c r="C190" s="308"/>
      <c r="D190" s="434"/>
      <c r="E190" s="179"/>
      <c r="F190" s="204"/>
      <c r="G190" s="205"/>
      <c r="H190" s="302"/>
      <c r="I190" s="308"/>
      <c r="J190" s="308"/>
      <c r="K190" s="302"/>
      <c r="L190" s="308"/>
      <c r="M190" s="308"/>
      <c r="N190" s="308"/>
      <c r="O190" s="308"/>
      <c r="P190" s="277"/>
      <c r="Q190" s="277"/>
      <c r="R190" s="277"/>
      <c r="S190" s="277"/>
      <c r="T190" s="277"/>
      <c r="U190" s="277"/>
      <c r="V190" s="277"/>
      <c r="W190" s="277"/>
    </row>
    <row r="191" spans="1:23" s="278" customFormat="1" ht="22.5" customHeight="1" x14ac:dyDescent="0.2">
      <c r="A191" s="294"/>
      <c r="B191" s="308"/>
      <c r="C191" s="308"/>
      <c r="D191" s="434"/>
      <c r="E191" s="180"/>
      <c r="F191" s="202"/>
      <c r="G191" s="203"/>
      <c r="H191" s="302"/>
      <c r="I191" s="308"/>
      <c r="J191" s="308"/>
      <c r="K191" s="302"/>
      <c r="L191" s="308"/>
      <c r="M191" s="308"/>
      <c r="N191" s="308"/>
      <c r="O191" s="308"/>
      <c r="P191" s="277"/>
      <c r="Q191" s="277"/>
      <c r="R191" s="277"/>
      <c r="S191" s="277"/>
      <c r="T191" s="277"/>
      <c r="U191" s="277"/>
      <c r="V191" s="277"/>
      <c r="W191" s="277"/>
    </row>
    <row r="192" spans="1:23" s="278" customFormat="1" ht="22.5" customHeight="1" x14ac:dyDescent="0.2">
      <c r="A192" s="294"/>
      <c r="B192" s="308"/>
      <c r="C192" s="308"/>
      <c r="D192" s="434"/>
      <c r="E192" s="179"/>
      <c r="F192" s="204"/>
      <c r="G192" s="205"/>
      <c r="H192" s="302"/>
      <c r="I192" s="308"/>
      <c r="J192" s="308"/>
      <c r="K192" s="302"/>
      <c r="L192" s="308"/>
      <c r="M192" s="308"/>
      <c r="N192" s="308"/>
      <c r="O192" s="308"/>
      <c r="P192" s="277"/>
      <c r="Q192" s="277"/>
      <c r="R192" s="277"/>
      <c r="S192" s="277"/>
      <c r="T192" s="277"/>
      <c r="U192" s="277"/>
      <c r="V192" s="277"/>
      <c r="W192" s="277"/>
    </row>
    <row r="193" spans="1:23" s="278" customFormat="1" ht="22.5" customHeight="1" x14ac:dyDescent="0.2">
      <c r="A193" s="294"/>
      <c r="B193" s="308"/>
      <c r="C193" s="308"/>
      <c r="D193" s="434"/>
      <c r="E193" s="180"/>
      <c r="F193" s="202"/>
      <c r="G193" s="203"/>
      <c r="H193" s="302"/>
      <c r="I193" s="308"/>
      <c r="J193" s="308"/>
      <c r="K193" s="302"/>
      <c r="L193" s="308"/>
      <c r="M193" s="308"/>
      <c r="N193" s="308"/>
      <c r="O193" s="308"/>
      <c r="P193" s="277"/>
      <c r="Q193" s="277"/>
      <c r="R193" s="277"/>
      <c r="S193" s="277"/>
      <c r="T193" s="277"/>
      <c r="U193" s="277"/>
      <c r="V193" s="277"/>
      <c r="W193" s="277"/>
    </row>
    <row r="194" spans="1:23" s="278" customFormat="1" ht="22.5" customHeight="1" x14ac:dyDescent="0.2">
      <c r="A194" s="294"/>
      <c r="B194" s="308"/>
      <c r="C194" s="308"/>
      <c r="D194" s="434"/>
      <c r="E194" s="179"/>
      <c r="F194" s="204"/>
      <c r="G194" s="205"/>
      <c r="H194" s="302"/>
      <c r="I194" s="308"/>
      <c r="J194" s="308"/>
      <c r="K194" s="302"/>
      <c r="L194" s="308"/>
      <c r="M194" s="308"/>
      <c r="N194" s="308"/>
      <c r="O194" s="308"/>
      <c r="P194" s="277"/>
      <c r="Q194" s="277"/>
      <c r="R194" s="277"/>
      <c r="S194" s="277"/>
      <c r="T194" s="277"/>
      <c r="U194" s="277"/>
      <c r="V194" s="277"/>
      <c r="W194" s="277"/>
    </row>
    <row r="195" spans="1:23" s="278" customFormat="1" ht="22.5" customHeight="1" x14ac:dyDescent="0.2">
      <c r="A195" s="294"/>
      <c r="B195" s="308"/>
      <c r="C195" s="308"/>
      <c r="D195" s="434"/>
      <c r="E195" s="180"/>
      <c r="F195" s="202"/>
      <c r="G195" s="203"/>
      <c r="H195" s="302"/>
      <c r="I195" s="308"/>
      <c r="J195" s="308"/>
      <c r="K195" s="302"/>
      <c r="L195" s="308"/>
      <c r="M195" s="308"/>
      <c r="N195" s="308"/>
      <c r="O195" s="308"/>
      <c r="P195" s="277"/>
      <c r="Q195" s="277"/>
      <c r="R195" s="277"/>
      <c r="S195" s="277"/>
      <c r="T195" s="277"/>
      <c r="U195" s="277"/>
      <c r="V195" s="277"/>
      <c r="W195" s="277"/>
    </row>
    <row r="196" spans="1:23" s="278" customFormat="1" ht="22.5" customHeight="1" x14ac:dyDescent="0.2">
      <c r="A196" s="294"/>
      <c r="B196" s="308"/>
      <c r="C196" s="308"/>
      <c r="D196" s="434"/>
      <c r="E196" s="179"/>
      <c r="F196" s="204"/>
      <c r="G196" s="205"/>
      <c r="H196" s="302"/>
      <c r="I196" s="308"/>
      <c r="J196" s="308"/>
      <c r="K196" s="302"/>
      <c r="L196" s="308"/>
      <c r="M196" s="308"/>
      <c r="N196" s="308"/>
      <c r="O196" s="308"/>
      <c r="P196" s="277"/>
      <c r="Q196" s="277"/>
      <c r="R196" s="277"/>
      <c r="S196" s="277"/>
      <c r="T196" s="277"/>
      <c r="U196" s="277"/>
      <c r="V196" s="277"/>
      <c r="W196" s="277"/>
    </row>
    <row r="197" spans="1:23" s="278" customFormat="1" ht="22.5" customHeight="1" x14ac:dyDescent="0.2">
      <c r="A197" s="294"/>
      <c r="B197" s="308"/>
      <c r="C197" s="308"/>
      <c r="D197" s="434"/>
      <c r="E197" s="180"/>
      <c r="F197" s="202"/>
      <c r="G197" s="203"/>
      <c r="H197" s="302"/>
      <c r="I197" s="308"/>
      <c r="J197" s="308"/>
      <c r="K197" s="302"/>
      <c r="L197" s="308"/>
      <c r="M197" s="308"/>
      <c r="N197" s="308"/>
      <c r="O197" s="308"/>
      <c r="P197" s="277"/>
      <c r="Q197" s="277"/>
      <c r="R197" s="277"/>
      <c r="S197" s="277"/>
      <c r="T197" s="277"/>
      <c r="U197" s="277"/>
      <c r="V197" s="277"/>
      <c r="W197" s="277"/>
    </row>
    <row r="198" spans="1:23" s="278" customFormat="1" ht="22.5" customHeight="1" x14ac:dyDescent="0.2">
      <c r="A198" s="294"/>
      <c r="B198" s="308"/>
      <c r="C198" s="308"/>
      <c r="D198" s="434"/>
      <c r="E198" s="179"/>
      <c r="F198" s="204"/>
      <c r="G198" s="205"/>
      <c r="H198" s="302"/>
      <c r="I198" s="308"/>
      <c r="J198" s="308"/>
      <c r="K198" s="302"/>
      <c r="L198" s="308"/>
      <c r="M198" s="308"/>
      <c r="N198" s="308"/>
      <c r="O198" s="308"/>
      <c r="P198" s="277"/>
      <c r="Q198" s="277"/>
      <c r="R198" s="277"/>
      <c r="S198" s="277"/>
      <c r="T198" s="277"/>
      <c r="U198" s="277"/>
      <c r="V198" s="277"/>
      <c r="W198" s="277"/>
    </row>
    <row r="199" spans="1:23" s="278" customFormat="1" ht="22.5" customHeight="1" x14ac:dyDescent="0.2">
      <c r="A199" s="294"/>
      <c r="B199" s="308"/>
      <c r="C199" s="308"/>
      <c r="D199" s="434"/>
      <c r="E199" s="180"/>
      <c r="F199" s="202"/>
      <c r="G199" s="203"/>
      <c r="H199" s="302"/>
      <c r="I199" s="308"/>
      <c r="J199" s="308"/>
      <c r="K199" s="302"/>
      <c r="L199" s="308"/>
      <c r="M199" s="308"/>
      <c r="N199" s="308"/>
      <c r="O199" s="308"/>
      <c r="P199" s="277"/>
      <c r="Q199" s="277"/>
      <c r="R199" s="277"/>
      <c r="S199" s="277"/>
      <c r="T199" s="277"/>
      <c r="U199" s="277"/>
      <c r="V199" s="277"/>
      <c r="W199" s="277"/>
    </row>
    <row r="200" spans="1:23" s="278" customFormat="1" ht="22.5" customHeight="1" x14ac:dyDescent="0.2">
      <c r="A200" s="294"/>
      <c r="B200" s="308"/>
      <c r="C200" s="308"/>
      <c r="D200" s="434"/>
      <c r="E200" s="179"/>
      <c r="F200" s="204"/>
      <c r="G200" s="205"/>
      <c r="H200" s="302"/>
      <c r="I200" s="308"/>
      <c r="J200" s="308"/>
      <c r="K200" s="302"/>
      <c r="L200" s="308"/>
      <c r="M200" s="308"/>
      <c r="N200" s="308"/>
      <c r="O200" s="308"/>
      <c r="P200" s="277"/>
      <c r="Q200" s="277"/>
      <c r="R200" s="277"/>
      <c r="S200" s="277"/>
      <c r="T200" s="277"/>
      <c r="U200" s="277"/>
      <c r="V200" s="277"/>
      <c r="W200" s="277"/>
    </row>
    <row r="201" spans="1:23" s="278" customFormat="1" ht="22.5" customHeight="1" x14ac:dyDescent="0.2">
      <c r="A201" s="294"/>
      <c r="B201" s="308"/>
      <c r="C201" s="308"/>
      <c r="D201" s="434"/>
      <c r="E201" s="180"/>
      <c r="F201" s="202"/>
      <c r="G201" s="203"/>
      <c r="H201" s="302"/>
      <c r="I201" s="308"/>
      <c r="J201" s="308"/>
      <c r="K201" s="302"/>
      <c r="L201" s="308"/>
      <c r="M201" s="308"/>
      <c r="N201" s="308"/>
      <c r="O201" s="308"/>
      <c r="P201" s="277"/>
      <c r="Q201" s="277"/>
      <c r="R201" s="277"/>
      <c r="S201" s="277"/>
      <c r="T201" s="277"/>
      <c r="U201" s="277"/>
      <c r="V201" s="277"/>
      <c r="W201" s="277"/>
    </row>
    <row r="202" spans="1:23" s="278" customFormat="1" ht="22.5" customHeight="1" x14ac:dyDescent="0.2">
      <c r="A202" s="294"/>
      <c r="B202" s="308"/>
      <c r="C202" s="308"/>
      <c r="D202" s="434"/>
      <c r="E202" s="179"/>
      <c r="F202" s="204"/>
      <c r="G202" s="205"/>
      <c r="H202" s="302"/>
      <c r="I202" s="308"/>
      <c r="J202" s="308"/>
      <c r="K202" s="302"/>
      <c r="L202" s="308"/>
      <c r="M202" s="308"/>
      <c r="N202" s="308"/>
      <c r="O202" s="308"/>
      <c r="P202" s="277"/>
      <c r="Q202" s="277"/>
      <c r="R202" s="277"/>
      <c r="S202" s="277"/>
      <c r="T202" s="277"/>
      <c r="U202" s="277"/>
      <c r="V202" s="277"/>
      <c r="W202" s="277"/>
    </row>
    <row r="203" spans="1:23" s="278" customFormat="1" ht="22.5" customHeight="1" x14ac:dyDescent="0.2">
      <c r="A203" s="294"/>
      <c r="B203" s="308"/>
      <c r="C203" s="308"/>
      <c r="D203" s="434"/>
      <c r="E203" s="180"/>
      <c r="F203" s="202"/>
      <c r="G203" s="203"/>
      <c r="H203" s="302"/>
      <c r="I203" s="308"/>
      <c r="J203" s="308"/>
      <c r="K203" s="302"/>
      <c r="L203" s="308"/>
      <c r="M203" s="308"/>
      <c r="N203" s="308"/>
      <c r="O203" s="308"/>
      <c r="P203" s="277"/>
      <c r="Q203" s="277"/>
      <c r="R203" s="277"/>
      <c r="S203" s="277"/>
      <c r="T203" s="277"/>
      <c r="U203" s="277"/>
      <c r="V203" s="277"/>
      <c r="W203" s="277"/>
    </row>
    <row r="204" spans="1:23" s="278" customFormat="1" ht="22.5" customHeight="1" x14ac:dyDescent="0.2">
      <c r="A204" s="294"/>
      <c r="B204" s="308"/>
      <c r="C204" s="308"/>
      <c r="D204" s="434"/>
      <c r="E204" s="179"/>
      <c r="F204" s="204"/>
      <c r="G204" s="205"/>
      <c r="H204" s="302"/>
      <c r="I204" s="308"/>
      <c r="J204" s="308"/>
      <c r="K204" s="302"/>
      <c r="L204" s="308"/>
      <c r="M204" s="308"/>
      <c r="N204" s="308"/>
      <c r="O204" s="308"/>
      <c r="P204" s="277"/>
      <c r="Q204" s="277"/>
      <c r="R204" s="277"/>
      <c r="S204" s="277"/>
      <c r="T204" s="277"/>
      <c r="U204" s="277"/>
      <c r="V204" s="277"/>
      <c r="W204" s="277"/>
    </row>
    <row r="205" spans="1:23" s="278" customFormat="1" ht="22.5" customHeight="1" x14ac:dyDescent="0.2">
      <c r="A205" s="294"/>
      <c r="B205" s="308"/>
      <c r="C205" s="308"/>
      <c r="D205" s="434"/>
      <c r="E205" s="180"/>
      <c r="F205" s="202"/>
      <c r="G205" s="203"/>
      <c r="H205" s="302"/>
      <c r="I205" s="308"/>
      <c r="J205" s="308"/>
      <c r="K205" s="302"/>
      <c r="L205" s="308"/>
      <c r="M205" s="308"/>
      <c r="N205" s="308"/>
      <c r="O205" s="308"/>
      <c r="P205" s="277"/>
      <c r="Q205" s="277"/>
      <c r="R205" s="277"/>
      <c r="S205" s="277"/>
      <c r="T205" s="277"/>
      <c r="U205" s="277"/>
      <c r="V205" s="277"/>
      <c r="W205" s="277"/>
    </row>
    <row r="206" spans="1:23" s="278" customFormat="1" ht="22.5" customHeight="1" x14ac:dyDescent="0.2">
      <c r="A206" s="294"/>
      <c r="B206" s="308"/>
      <c r="C206" s="308"/>
      <c r="D206" s="434"/>
      <c r="E206" s="179"/>
      <c r="F206" s="204"/>
      <c r="G206" s="205"/>
      <c r="H206" s="302"/>
      <c r="I206" s="308"/>
      <c r="J206" s="308"/>
      <c r="K206" s="302"/>
      <c r="L206" s="308"/>
      <c r="M206" s="308"/>
      <c r="N206" s="308"/>
      <c r="O206" s="308"/>
      <c r="P206" s="277"/>
      <c r="Q206" s="277"/>
      <c r="R206" s="277"/>
      <c r="S206" s="277"/>
      <c r="T206" s="277"/>
      <c r="U206" s="277"/>
      <c r="V206" s="277"/>
      <c r="W206" s="277"/>
    </row>
    <row r="207" spans="1:23" s="278" customFormat="1" ht="22.5" customHeight="1" x14ac:dyDescent="0.2">
      <c r="A207" s="294"/>
      <c r="B207" s="308"/>
      <c r="C207" s="308"/>
      <c r="D207" s="434"/>
      <c r="E207" s="180"/>
      <c r="F207" s="202"/>
      <c r="G207" s="203"/>
      <c r="H207" s="302"/>
      <c r="I207" s="308"/>
      <c r="J207" s="308"/>
      <c r="K207" s="302"/>
      <c r="L207" s="308"/>
      <c r="M207" s="308"/>
      <c r="N207" s="308"/>
      <c r="O207" s="308"/>
      <c r="P207" s="277"/>
      <c r="Q207" s="277"/>
      <c r="R207" s="277"/>
      <c r="S207" s="277"/>
      <c r="T207" s="277"/>
      <c r="U207" s="277"/>
      <c r="V207" s="277"/>
      <c r="W207" s="277"/>
    </row>
    <row r="208" spans="1:23" s="278" customFormat="1" ht="22.5" customHeight="1" x14ac:dyDescent="0.2">
      <c r="A208" s="294"/>
      <c r="B208" s="308"/>
      <c r="C208" s="308"/>
      <c r="D208" s="434"/>
      <c r="E208" s="179"/>
      <c r="F208" s="204"/>
      <c r="G208" s="205"/>
      <c r="H208" s="302"/>
      <c r="I208" s="308"/>
      <c r="J208" s="308"/>
      <c r="K208" s="302"/>
      <c r="L208" s="308"/>
      <c r="M208" s="308"/>
      <c r="N208" s="308"/>
      <c r="O208" s="308"/>
      <c r="P208" s="277"/>
      <c r="Q208" s="277"/>
      <c r="R208" s="277"/>
      <c r="S208" s="277"/>
      <c r="T208" s="277"/>
      <c r="U208" s="277"/>
      <c r="V208" s="277"/>
      <c r="W208" s="277"/>
    </row>
    <row r="209" spans="1:23" s="278" customFormat="1" ht="22.5" customHeight="1" x14ac:dyDescent="0.2">
      <c r="A209" s="294"/>
      <c r="B209" s="308"/>
      <c r="C209" s="308"/>
      <c r="D209" s="434"/>
      <c r="E209" s="180"/>
      <c r="F209" s="202"/>
      <c r="G209" s="203"/>
      <c r="H209" s="302"/>
      <c r="I209" s="308"/>
      <c r="J209" s="308"/>
      <c r="K209" s="302"/>
      <c r="L209" s="308"/>
      <c r="M209" s="308"/>
      <c r="N209" s="308"/>
      <c r="O209" s="308"/>
      <c r="P209" s="277"/>
      <c r="Q209" s="277"/>
      <c r="R209" s="277"/>
      <c r="S209" s="277"/>
      <c r="T209" s="277"/>
      <c r="U209" s="277"/>
      <c r="V209" s="277"/>
      <c r="W209" s="277"/>
    </row>
    <row r="210" spans="1:23" s="278" customFormat="1" ht="22.5" customHeight="1" x14ac:dyDescent="0.2">
      <c r="A210" s="294"/>
      <c r="B210" s="308"/>
      <c r="C210" s="308"/>
      <c r="D210" s="434"/>
      <c r="E210" s="179"/>
      <c r="F210" s="204"/>
      <c r="G210" s="205"/>
      <c r="H210" s="302"/>
      <c r="I210" s="308"/>
      <c r="J210" s="308"/>
      <c r="K210" s="302"/>
      <c r="L210" s="308"/>
      <c r="M210" s="308"/>
      <c r="N210" s="308"/>
      <c r="O210" s="308"/>
      <c r="P210" s="277"/>
      <c r="Q210" s="277"/>
      <c r="R210" s="277"/>
      <c r="S210" s="277"/>
      <c r="T210" s="277"/>
      <c r="U210" s="277"/>
      <c r="V210" s="277"/>
      <c r="W210" s="277"/>
    </row>
    <row r="211" spans="1:23" s="278" customFormat="1" ht="22.5" customHeight="1" x14ac:dyDescent="0.2">
      <c r="A211" s="294"/>
      <c r="B211" s="308"/>
      <c r="C211" s="308"/>
      <c r="D211" s="434"/>
      <c r="E211" s="180"/>
      <c r="F211" s="202"/>
      <c r="G211" s="203"/>
      <c r="H211" s="302"/>
      <c r="I211" s="308"/>
      <c r="J211" s="308"/>
      <c r="K211" s="302"/>
      <c r="L211" s="308"/>
      <c r="M211" s="308"/>
      <c r="N211" s="308"/>
      <c r="O211" s="308"/>
      <c r="P211" s="277"/>
      <c r="Q211" s="277"/>
      <c r="R211" s="277"/>
      <c r="S211" s="277"/>
      <c r="T211" s="277"/>
      <c r="U211" s="277"/>
      <c r="V211" s="277"/>
      <c r="W211" s="277"/>
    </row>
    <row r="212" spans="1:23" s="278" customFormat="1" ht="22.5" customHeight="1" x14ac:dyDescent="0.2">
      <c r="A212" s="294"/>
      <c r="B212" s="308"/>
      <c r="C212" s="308"/>
      <c r="D212" s="434"/>
      <c r="E212" s="179"/>
      <c r="F212" s="204"/>
      <c r="G212" s="205"/>
      <c r="H212" s="302"/>
      <c r="I212" s="308"/>
      <c r="J212" s="308"/>
      <c r="K212" s="302"/>
      <c r="L212" s="308"/>
      <c r="M212" s="308"/>
      <c r="N212" s="308"/>
      <c r="O212" s="308"/>
      <c r="P212" s="277"/>
      <c r="Q212" s="277"/>
      <c r="R212" s="277"/>
      <c r="S212" s="277"/>
      <c r="T212" s="277"/>
      <c r="U212" s="277"/>
      <c r="V212" s="277"/>
      <c r="W212" s="277"/>
    </row>
    <row r="213" spans="1:23" s="278" customFormat="1" ht="22.5" customHeight="1" x14ac:dyDescent="0.2">
      <c r="A213" s="294"/>
      <c r="B213" s="308"/>
      <c r="C213" s="308"/>
      <c r="D213" s="434"/>
      <c r="E213" s="180"/>
      <c r="F213" s="202"/>
      <c r="G213" s="203"/>
      <c r="H213" s="302"/>
      <c r="I213" s="308"/>
      <c r="J213" s="308"/>
      <c r="K213" s="302"/>
      <c r="L213" s="308"/>
      <c r="M213" s="308"/>
      <c r="N213" s="308"/>
      <c r="O213" s="308"/>
      <c r="P213" s="277"/>
      <c r="Q213" s="277"/>
      <c r="R213" s="277"/>
      <c r="S213" s="277"/>
      <c r="T213" s="277"/>
      <c r="U213" s="277"/>
      <c r="V213" s="277"/>
      <c r="W213" s="277"/>
    </row>
    <row r="214" spans="1:23" s="278" customFormat="1" ht="22.5" customHeight="1" x14ac:dyDescent="0.2">
      <c r="A214" s="294"/>
      <c r="B214" s="308"/>
      <c r="C214" s="308"/>
      <c r="D214" s="434"/>
      <c r="E214" s="179"/>
      <c r="F214" s="204"/>
      <c r="G214" s="205"/>
      <c r="H214" s="302"/>
      <c r="I214" s="308"/>
      <c r="J214" s="308"/>
      <c r="K214" s="302"/>
      <c r="L214" s="308"/>
      <c r="M214" s="308"/>
      <c r="N214" s="308"/>
      <c r="O214" s="308"/>
      <c r="P214" s="277"/>
      <c r="Q214" s="277"/>
      <c r="R214" s="277"/>
      <c r="S214" s="277"/>
      <c r="T214" s="277"/>
      <c r="U214" s="277"/>
      <c r="V214" s="277"/>
      <c r="W214" s="277"/>
    </row>
    <row r="215" spans="1:23" s="278" customFormat="1" ht="22.5" customHeight="1" x14ac:dyDescent="0.2">
      <c r="A215" s="294"/>
      <c r="B215" s="308"/>
      <c r="C215" s="308"/>
      <c r="D215" s="434"/>
      <c r="E215" s="180"/>
      <c r="F215" s="202"/>
      <c r="G215" s="203"/>
      <c r="H215" s="302"/>
      <c r="I215" s="308"/>
      <c r="J215" s="308"/>
      <c r="K215" s="302"/>
      <c r="L215" s="308"/>
      <c r="M215" s="308"/>
      <c r="N215" s="308"/>
      <c r="O215" s="308"/>
      <c r="P215" s="277"/>
      <c r="Q215" s="277"/>
      <c r="R215" s="277"/>
      <c r="S215" s="277"/>
      <c r="T215" s="277"/>
      <c r="U215" s="277"/>
      <c r="V215" s="277"/>
      <c r="W215" s="277"/>
    </row>
    <row r="216" spans="1:23" s="278" customFormat="1" ht="22.5" customHeight="1" x14ac:dyDescent="0.2">
      <c r="A216" s="294"/>
      <c r="B216" s="308"/>
      <c r="C216" s="308"/>
      <c r="D216" s="434"/>
      <c r="E216" s="179"/>
      <c r="F216" s="204"/>
      <c r="G216" s="205"/>
      <c r="H216" s="302"/>
      <c r="I216" s="308"/>
      <c r="J216" s="308"/>
      <c r="K216" s="302"/>
      <c r="L216" s="308"/>
      <c r="M216" s="308"/>
      <c r="N216" s="308"/>
      <c r="O216" s="308"/>
      <c r="P216" s="277"/>
      <c r="Q216" s="277"/>
      <c r="R216" s="277"/>
      <c r="S216" s="277"/>
      <c r="T216" s="277"/>
      <c r="U216" s="277"/>
      <c r="V216" s="277"/>
      <c r="W216" s="277"/>
    </row>
    <row r="217" spans="1:23" s="278" customFormat="1" ht="22.5" customHeight="1" x14ac:dyDescent="0.2">
      <c r="A217" s="294"/>
      <c r="B217" s="308"/>
      <c r="C217" s="308"/>
      <c r="D217" s="434"/>
      <c r="E217" s="180"/>
      <c r="F217" s="202"/>
      <c r="G217" s="203"/>
      <c r="H217" s="302"/>
      <c r="I217" s="308"/>
      <c r="J217" s="308"/>
      <c r="K217" s="302"/>
      <c r="L217" s="308"/>
      <c r="M217" s="308"/>
      <c r="N217" s="308"/>
      <c r="O217" s="308"/>
      <c r="P217" s="277"/>
      <c r="Q217" s="277"/>
      <c r="R217" s="277"/>
      <c r="S217" s="277"/>
      <c r="T217" s="277"/>
      <c r="U217" s="277"/>
      <c r="V217" s="277"/>
      <c r="W217" s="277"/>
    </row>
    <row r="218" spans="1:23" s="278" customFormat="1" ht="22.5" customHeight="1" x14ac:dyDescent="0.2">
      <c r="A218" s="294"/>
      <c r="B218" s="308"/>
      <c r="C218" s="308"/>
      <c r="D218" s="434"/>
      <c r="E218" s="179"/>
      <c r="F218" s="204"/>
      <c r="G218" s="205"/>
      <c r="H218" s="302"/>
      <c r="I218" s="308"/>
      <c r="J218" s="308"/>
      <c r="K218" s="302"/>
      <c r="L218" s="308"/>
      <c r="M218" s="308"/>
      <c r="N218" s="308"/>
      <c r="O218" s="308"/>
      <c r="P218" s="277"/>
      <c r="Q218" s="277"/>
      <c r="R218" s="277"/>
      <c r="S218" s="277"/>
      <c r="T218" s="277"/>
      <c r="U218" s="277"/>
      <c r="V218" s="277"/>
      <c r="W218" s="277"/>
    </row>
    <row r="219" spans="1:23" s="278" customFormat="1" ht="22.5" customHeight="1" x14ac:dyDescent="0.2">
      <c r="A219" s="294"/>
      <c r="B219" s="308"/>
      <c r="C219" s="308"/>
      <c r="D219" s="434"/>
      <c r="E219" s="180"/>
      <c r="F219" s="202"/>
      <c r="G219" s="203"/>
      <c r="H219" s="302"/>
      <c r="I219" s="308"/>
      <c r="J219" s="308"/>
      <c r="K219" s="302"/>
      <c r="L219" s="308"/>
      <c r="M219" s="308"/>
      <c r="N219" s="308"/>
      <c r="O219" s="308"/>
      <c r="P219" s="277"/>
      <c r="Q219" s="277"/>
      <c r="R219" s="277"/>
      <c r="S219" s="277"/>
      <c r="T219" s="277"/>
      <c r="U219" s="277"/>
      <c r="V219" s="277"/>
      <c r="W219" s="277"/>
    </row>
    <row r="220" spans="1:23" s="278" customFormat="1" ht="22.5" customHeight="1" x14ac:dyDescent="0.2">
      <c r="A220" s="294"/>
      <c r="B220" s="308"/>
      <c r="C220" s="308"/>
      <c r="D220" s="434"/>
      <c r="E220" s="179"/>
      <c r="F220" s="204"/>
      <c r="G220" s="205"/>
      <c r="H220" s="302"/>
      <c r="I220" s="308"/>
      <c r="J220" s="308"/>
      <c r="K220" s="302"/>
      <c r="L220" s="308"/>
      <c r="M220" s="308"/>
      <c r="N220" s="308"/>
      <c r="O220" s="308"/>
      <c r="P220" s="277"/>
      <c r="Q220" s="277"/>
      <c r="R220" s="277"/>
      <c r="S220" s="277"/>
      <c r="T220" s="277"/>
      <c r="U220" s="277"/>
      <c r="V220" s="277"/>
      <c r="W220" s="277"/>
    </row>
    <row r="221" spans="1:23" s="278" customFormat="1" ht="22.5" customHeight="1" x14ac:dyDescent="0.2">
      <c r="A221" s="294"/>
      <c r="B221" s="308"/>
      <c r="C221" s="308"/>
      <c r="D221" s="434"/>
      <c r="E221" s="180"/>
      <c r="F221" s="202"/>
      <c r="G221" s="203"/>
      <c r="H221" s="302"/>
      <c r="I221" s="308"/>
      <c r="J221" s="308"/>
      <c r="K221" s="302"/>
      <c r="L221" s="308"/>
      <c r="M221" s="308"/>
      <c r="N221" s="308"/>
      <c r="O221" s="308"/>
      <c r="P221" s="277"/>
      <c r="Q221" s="277"/>
      <c r="R221" s="277"/>
      <c r="S221" s="277"/>
      <c r="T221" s="277"/>
      <c r="U221" s="277"/>
      <c r="V221" s="277"/>
      <c r="W221" s="277"/>
    </row>
    <row r="222" spans="1:23" s="278" customFormat="1" ht="22.5" customHeight="1" x14ac:dyDescent="0.2">
      <c r="A222" s="294"/>
      <c r="B222" s="308"/>
      <c r="C222" s="308"/>
      <c r="D222" s="434"/>
      <c r="E222" s="179"/>
      <c r="F222" s="204"/>
      <c r="G222" s="205"/>
      <c r="H222" s="302"/>
      <c r="I222" s="308"/>
      <c r="J222" s="308"/>
      <c r="K222" s="302"/>
      <c r="L222" s="308"/>
      <c r="M222" s="308"/>
      <c r="N222" s="308"/>
      <c r="O222" s="308"/>
      <c r="P222" s="277"/>
      <c r="Q222" s="277"/>
      <c r="R222" s="277"/>
      <c r="S222" s="277"/>
      <c r="T222" s="277"/>
      <c r="U222" s="277"/>
      <c r="V222" s="277"/>
      <c r="W222" s="277"/>
    </row>
    <row r="223" spans="1:23" s="278" customFormat="1" ht="22.5" customHeight="1" x14ac:dyDescent="0.2">
      <c r="A223" s="294"/>
      <c r="B223" s="308"/>
      <c r="C223" s="308"/>
      <c r="D223" s="432"/>
      <c r="E223" s="48"/>
      <c r="F223" s="47"/>
      <c r="G223" s="49"/>
      <c r="H223" s="244"/>
      <c r="I223" s="308"/>
      <c r="J223" s="308"/>
      <c r="K223" s="244"/>
      <c r="L223" s="308"/>
      <c r="M223" s="308"/>
      <c r="N223" s="308"/>
      <c r="O223" s="308"/>
      <c r="P223" s="277"/>
      <c r="Q223" s="277"/>
      <c r="R223" s="277"/>
      <c r="S223" s="277"/>
      <c r="T223" s="277"/>
      <c r="U223" s="277"/>
      <c r="V223" s="277"/>
      <c r="W223" s="277"/>
    </row>
    <row r="224" spans="1:23" s="278" customFormat="1" ht="22.5" customHeight="1" x14ac:dyDescent="0.2">
      <c r="A224" s="294"/>
      <c r="B224" s="308"/>
      <c r="C224" s="308"/>
      <c r="D224" s="432"/>
      <c r="E224" s="35"/>
      <c r="F224" s="32"/>
      <c r="G224" s="36"/>
      <c r="H224" s="244"/>
      <c r="I224" s="308"/>
      <c r="J224" s="308"/>
      <c r="K224" s="244"/>
      <c r="L224" s="308"/>
      <c r="M224" s="308"/>
      <c r="N224" s="308"/>
      <c r="O224" s="308"/>
      <c r="P224" s="277"/>
      <c r="Q224" s="277"/>
      <c r="R224" s="277"/>
      <c r="S224" s="277"/>
      <c r="T224" s="277"/>
      <c r="U224" s="277"/>
      <c r="V224" s="277"/>
      <c r="W224" s="277"/>
    </row>
    <row r="225" spans="1:23" s="278" customFormat="1" ht="22.5" customHeight="1" x14ac:dyDescent="0.2">
      <c r="A225" s="294"/>
      <c r="B225" s="308"/>
      <c r="C225" s="308"/>
      <c r="D225" s="432"/>
      <c r="E225" s="48"/>
      <c r="F225" s="47"/>
      <c r="G225" s="49"/>
      <c r="H225" s="244"/>
      <c r="I225" s="308"/>
      <c r="J225" s="308"/>
      <c r="K225" s="244"/>
      <c r="L225" s="308"/>
      <c r="M225" s="308"/>
      <c r="N225" s="308"/>
      <c r="O225" s="308"/>
      <c r="P225" s="277"/>
      <c r="Q225" s="277"/>
      <c r="R225" s="277"/>
      <c r="S225" s="277"/>
      <c r="T225" s="277"/>
      <c r="U225" s="277"/>
      <c r="V225" s="277"/>
      <c r="W225" s="277"/>
    </row>
    <row r="226" spans="1:23" s="278" customFormat="1" ht="22.5" customHeight="1" x14ac:dyDescent="0.2">
      <c r="A226" s="294"/>
      <c r="B226" s="308"/>
      <c r="C226" s="308"/>
      <c r="D226" s="432"/>
      <c r="E226" s="35"/>
      <c r="F226" s="32"/>
      <c r="G226" s="36"/>
      <c r="H226" s="244"/>
      <c r="I226" s="308"/>
      <c r="J226" s="308"/>
      <c r="K226" s="244"/>
      <c r="L226" s="308"/>
      <c r="M226" s="308"/>
      <c r="N226" s="308"/>
      <c r="O226" s="308"/>
      <c r="P226" s="277"/>
      <c r="Q226" s="277"/>
      <c r="R226" s="277"/>
      <c r="S226" s="277"/>
      <c r="T226" s="277"/>
      <c r="U226" s="277"/>
      <c r="V226" s="277"/>
      <c r="W226" s="277"/>
    </row>
    <row r="227" spans="1:23" s="278" customFormat="1" ht="22.5" customHeight="1" x14ac:dyDescent="0.2">
      <c r="A227" s="294"/>
      <c r="B227" s="308"/>
      <c r="C227" s="308"/>
      <c r="D227" s="432"/>
      <c r="E227" s="48"/>
      <c r="F227" s="47"/>
      <c r="G227" s="49"/>
      <c r="H227" s="244"/>
      <c r="I227" s="308"/>
      <c r="J227" s="308"/>
      <c r="K227" s="244"/>
      <c r="L227" s="308"/>
      <c r="M227" s="308"/>
      <c r="N227" s="308"/>
      <c r="O227" s="308"/>
      <c r="P227" s="277"/>
      <c r="Q227" s="277"/>
      <c r="R227" s="277"/>
      <c r="S227" s="277"/>
      <c r="T227" s="277"/>
      <c r="U227" s="277"/>
      <c r="V227" s="277"/>
      <c r="W227" s="277"/>
    </row>
    <row r="228" spans="1:23" s="278" customFormat="1" ht="22.5" customHeight="1" x14ac:dyDescent="0.2">
      <c r="A228" s="294"/>
      <c r="B228" s="308"/>
      <c r="C228" s="308"/>
      <c r="D228" s="432"/>
      <c r="E228" s="35"/>
      <c r="F228" s="32"/>
      <c r="G228" s="36"/>
      <c r="H228" s="244"/>
      <c r="I228" s="308"/>
      <c r="J228" s="308"/>
      <c r="K228" s="244"/>
      <c r="L228" s="308"/>
      <c r="M228" s="308"/>
      <c r="N228" s="308"/>
      <c r="O228" s="308"/>
      <c r="P228" s="277"/>
      <c r="Q228" s="277"/>
      <c r="R228" s="277"/>
      <c r="S228" s="277"/>
      <c r="T228" s="277"/>
      <c r="U228" s="277"/>
      <c r="V228" s="277"/>
      <c r="W228" s="277"/>
    </row>
    <row r="229" spans="1:23" s="278" customFormat="1" ht="22.5" customHeight="1" x14ac:dyDescent="0.2">
      <c r="A229" s="294"/>
      <c r="B229" s="308"/>
      <c r="C229" s="308"/>
      <c r="D229" s="432"/>
      <c r="E229" s="48"/>
      <c r="F229" s="47"/>
      <c r="G229" s="49"/>
      <c r="H229" s="244"/>
      <c r="I229" s="308"/>
      <c r="J229" s="308"/>
      <c r="K229" s="244"/>
      <c r="L229" s="308"/>
      <c r="M229" s="308"/>
      <c r="N229" s="308"/>
      <c r="O229" s="308"/>
      <c r="P229" s="277"/>
      <c r="Q229" s="277"/>
      <c r="R229" s="277"/>
      <c r="S229" s="277"/>
      <c r="T229" s="277"/>
      <c r="U229" s="277"/>
      <c r="V229" s="277"/>
      <c r="W229" s="277"/>
    </row>
    <row r="230" spans="1:23" s="278" customFormat="1" ht="22.5" customHeight="1" x14ac:dyDescent="0.2">
      <c r="A230" s="294"/>
      <c r="B230" s="308"/>
      <c r="C230" s="308"/>
      <c r="D230" s="432"/>
      <c r="E230" s="35"/>
      <c r="F230" s="32"/>
      <c r="G230" s="36"/>
      <c r="H230" s="244"/>
      <c r="I230" s="308"/>
      <c r="J230" s="308"/>
      <c r="K230" s="244"/>
      <c r="L230" s="308"/>
      <c r="M230" s="308"/>
      <c r="N230" s="308"/>
      <c r="O230" s="308"/>
      <c r="P230" s="277"/>
      <c r="Q230" s="277"/>
      <c r="R230" s="277"/>
      <c r="S230" s="277"/>
      <c r="T230" s="277"/>
      <c r="U230" s="277"/>
      <c r="V230" s="277"/>
      <c r="W230" s="277"/>
    </row>
    <row r="231" spans="1:23" s="278" customFormat="1" ht="22.5" customHeight="1" x14ac:dyDescent="0.2">
      <c r="A231" s="294"/>
      <c r="B231" s="308"/>
      <c r="C231" s="308"/>
      <c r="D231" s="432"/>
      <c r="E231" s="48"/>
      <c r="F231" s="47"/>
      <c r="G231" s="49"/>
      <c r="H231" s="244"/>
      <c r="I231" s="308"/>
      <c r="J231" s="308"/>
      <c r="K231" s="244"/>
      <c r="L231" s="308"/>
      <c r="M231" s="308"/>
      <c r="N231" s="308"/>
      <c r="O231" s="308"/>
      <c r="P231" s="277"/>
      <c r="Q231" s="277"/>
      <c r="R231" s="277"/>
      <c r="S231" s="277"/>
      <c r="T231" s="277"/>
      <c r="U231" s="277"/>
      <c r="V231" s="277"/>
      <c r="W231" s="277"/>
    </row>
    <row r="232" spans="1:23" s="278" customFormat="1" ht="22.5" customHeight="1" x14ac:dyDescent="0.2">
      <c r="A232" s="294"/>
      <c r="B232" s="308"/>
      <c r="C232" s="308"/>
      <c r="D232" s="432"/>
      <c r="E232" s="35"/>
      <c r="F232" s="32"/>
      <c r="G232" s="36"/>
      <c r="H232" s="244"/>
      <c r="I232" s="308"/>
      <c r="J232" s="308"/>
      <c r="K232" s="244"/>
      <c r="L232" s="308"/>
      <c r="M232" s="308"/>
      <c r="N232" s="308"/>
      <c r="O232" s="308"/>
      <c r="P232" s="277"/>
      <c r="Q232" s="277"/>
      <c r="R232" s="277"/>
      <c r="S232" s="277"/>
      <c r="T232" s="277"/>
      <c r="U232" s="277"/>
      <c r="V232" s="277"/>
      <c r="W232" s="277"/>
    </row>
    <row r="233" spans="1:23" s="278" customFormat="1" ht="22.5" customHeight="1" x14ac:dyDescent="0.2">
      <c r="A233" s="294"/>
      <c r="B233" s="308"/>
      <c r="C233" s="308"/>
      <c r="D233" s="432"/>
      <c r="E233" s="48"/>
      <c r="F233" s="47"/>
      <c r="G233" s="49"/>
      <c r="H233" s="244"/>
      <c r="I233" s="308"/>
      <c r="J233" s="308"/>
      <c r="K233" s="244"/>
      <c r="L233" s="308"/>
      <c r="M233" s="308"/>
      <c r="N233" s="308"/>
      <c r="O233" s="308"/>
      <c r="P233" s="277"/>
      <c r="Q233" s="277"/>
      <c r="R233" s="277"/>
      <c r="S233" s="277"/>
      <c r="T233" s="277"/>
      <c r="U233" s="277"/>
      <c r="V233" s="277"/>
      <c r="W233" s="277"/>
    </row>
    <row r="234" spans="1:23" s="278" customFormat="1" ht="22.5" customHeight="1" x14ac:dyDescent="0.2">
      <c r="A234" s="294"/>
      <c r="B234" s="308"/>
      <c r="C234" s="308"/>
      <c r="D234" s="432"/>
      <c r="E234" s="35"/>
      <c r="F234" s="32"/>
      <c r="G234" s="36"/>
      <c r="H234" s="244"/>
      <c r="I234" s="308"/>
      <c r="J234" s="308"/>
      <c r="K234" s="244"/>
      <c r="L234" s="308"/>
      <c r="M234" s="308"/>
      <c r="N234" s="308"/>
      <c r="O234" s="308"/>
      <c r="P234" s="277"/>
      <c r="Q234" s="277"/>
      <c r="R234" s="277"/>
      <c r="S234" s="277"/>
      <c r="T234" s="277"/>
      <c r="U234" s="277"/>
      <c r="V234" s="277"/>
      <c r="W234" s="277"/>
    </row>
    <row r="235" spans="1:23" s="278" customFormat="1" ht="22.5" customHeight="1" x14ac:dyDescent="0.2">
      <c r="A235" s="294"/>
      <c r="B235" s="308"/>
      <c r="C235" s="308"/>
      <c r="D235" s="432"/>
      <c r="E235" s="48"/>
      <c r="F235" s="47"/>
      <c r="G235" s="49"/>
      <c r="H235" s="244"/>
      <c r="I235" s="308"/>
      <c r="J235" s="308"/>
      <c r="K235" s="244"/>
      <c r="L235" s="308"/>
      <c r="M235" s="308"/>
      <c r="N235" s="308"/>
      <c r="O235" s="308"/>
      <c r="P235" s="277"/>
      <c r="Q235" s="277"/>
      <c r="R235" s="277"/>
      <c r="S235" s="277"/>
      <c r="T235" s="277"/>
      <c r="U235" s="277"/>
      <c r="V235" s="277"/>
      <c r="W235" s="277"/>
    </row>
    <row r="236" spans="1:23" s="278" customFormat="1" ht="22.5" customHeight="1" x14ac:dyDescent="0.2">
      <c r="A236" s="294"/>
      <c r="B236" s="308"/>
      <c r="C236" s="308"/>
      <c r="D236" s="432"/>
      <c r="E236" s="35"/>
      <c r="F236" s="32"/>
      <c r="G236" s="36"/>
      <c r="H236" s="244"/>
      <c r="I236" s="308"/>
      <c r="J236" s="308"/>
      <c r="K236" s="244"/>
      <c r="L236" s="308"/>
      <c r="M236" s="308"/>
      <c r="N236" s="308"/>
      <c r="O236" s="308"/>
      <c r="P236" s="277"/>
      <c r="Q236" s="277"/>
      <c r="R236" s="277"/>
      <c r="S236" s="277"/>
      <c r="T236" s="277"/>
      <c r="U236" s="277"/>
      <c r="V236" s="277"/>
      <c r="W236" s="277"/>
    </row>
    <row r="237" spans="1:23" s="278" customFormat="1" ht="22.5" customHeight="1" x14ac:dyDescent="0.2">
      <c r="A237" s="294"/>
      <c r="B237" s="308"/>
      <c r="C237" s="308"/>
      <c r="D237" s="432"/>
      <c r="E237" s="48"/>
      <c r="F237" s="47"/>
      <c r="G237" s="49"/>
      <c r="H237" s="244"/>
      <c r="I237" s="308"/>
      <c r="J237" s="308"/>
      <c r="K237" s="244"/>
      <c r="L237" s="308"/>
      <c r="M237" s="308"/>
      <c r="N237" s="308"/>
      <c r="O237" s="308"/>
      <c r="P237" s="277"/>
      <c r="Q237" s="277"/>
      <c r="R237" s="277"/>
      <c r="S237" s="277"/>
      <c r="T237" s="277"/>
      <c r="U237" s="277"/>
      <c r="V237" s="277"/>
      <c r="W237" s="277"/>
    </row>
    <row r="238" spans="1:23" s="278" customFormat="1" ht="22.5" customHeight="1" x14ac:dyDescent="0.2">
      <c r="A238" s="294"/>
      <c r="B238" s="308"/>
      <c r="C238" s="308"/>
      <c r="D238" s="432"/>
      <c r="E238" s="35"/>
      <c r="F238" s="32"/>
      <c r="G238" s="36"/>
      <c r="H238" s="244"/>
      <c r="I238" s="308"/>
      <c r="J238" s="308"/>
      <c r="K238" s="244"/>
      <c r="L238" s="308"/>
      <c r="M238" s="308"/>
      <c r="N238" s="308"/>
      <c r="O238" s="308"/>
      <c r="P238" s="277"/>
      <c r="Q238" s="277"/>
      <c r="R238" s="277"/>
      <c r="S238" s="277"/>
      <c r="T238" s="277"/>
      <c r="U238" s="277"/>
      <c r="V238" s="277"/>
      <c r="W238" s="277"/>
    </row>
    <row r="239" spans="1:23" s="278" customFormat="1" ht="22.5" customHeight="1" x14ac:dyDescent="0.2">
      <c r="A239" s="294"/>
      <c r="B239" s="308"/>
      <c r="C239" s="308"/>
      <c r="D239" s="432"/>
      <c r="E239" s="48"/>
      <c r="F239" s="47"/>
      <c r="G239" s="49"/>
      <c r="H239" s="244"/>
      <c r="I239" s="308"/>
      <c r="J239" s="308"/>
      <c r="K239" s="244"/>
      <c r="L239" s="308"/>
      <c r="M239" s="308"/>
      <c r="N239" s="308"/>
      <c r="O239" s="308"/>
      <c r="P239" s="277"/>
      <c r="Q239" s="277"/>
      <c r="R239" s="277"/>
      <c r="S239" s="277"/>
      <c r="T239" s="277"/>
      <c r="U239" s="277"/>
      <c r="V239" s="277"/>
      <c r="W239" s="277"/>
    </row>
    <row r="240" spans="1:23" s="278" customFormat="1" ht="22.5" customHeight="1" x14ac:dyDescent="0.2">
      <c r="A240" s="294"/>
      <c r="B240" s="308"/>
      <c r="C240" s="308"/>
      <c r="D240" s="432"/>
      <c r="E240" s="35"/>
      <c r="F240" s="32"/>
      <c r="G240" s="36"/>
      <c r="H240" s="244"/>
      <c r="I240" s="308"/>
      <c r="J240" s="308"/>
      <c r="K240" s="244"/>
      <c r="L240" s="308"/>
      <c r="M240" s="308"/>
      <c r="N240" s="308"/>
      <c r="O240" s="308"/>
      <c r="P240" s="277"/>
      <c r="Q240" s="277"/>
      <c r="R240" s="277"/>
      <c r="S240" s="277"/>
      <c r="T240" s="277"/>
      <c r="U240" s="277"/>
      <c r="V240" s="277"/>
      <c r="W240" s="277"/>
    </row>
    <row r="241" spans="1:23" s="278" customFormat="1" ht="22.5" customHeight="1" x14ac:dyDescent="0.2">
      <c r="A241" s="294"/>
      <c r="B241" s="308"/>
      <c r="C241" s="308"/>
      <c r="D241" s="432"/>
      <c r="E241" s="48"/>
      <c r="F241" s="47"/>
      <c r="G241" s="49"/>
      <c r="H241" s="244"/>
      <c r="I241" s="308"/>
      <c r="J241" s="308"/>
      <c r="K241" s="244"/>
      <c r="L241" s="308"/>
      <c r="M241" s="308"/>
      <c r="N241" s="308"/>
      <c r="O241" s="308"/>
      <c r="P241" s="277"/>
      <c r="Q241" s="277"/>
      <c r="R241" s="277"/>
      <c r="S241" s="277"/>
      <c r="T241" s="277"/>
      <c r="U241" s="277"/>
      <c r="V241" s="277"/>
      <c r="W241" s="277"/>
    </row>
    <row r="242" spans="1:23" s="278" customFormat="1" ht="22.5" customHeight="1" x14ac:dyDescent="0.2">
      <c r="A242" s="294"/>
      <c r="B242" s="308"/>
      <c r="C242" s="308"/>
      <c r="D242" s="432"/>
      <c r="E242" s="35"/>
      <c r="F242" s="32"/>
      <c r="G242" s="36"/>
      <c r="H242" s="244"/>
      <c r="I242" s="308"/>
      <c r="J242" s="308"/>
      <c r="K242" s="244"/>
      <c r="L242" s="308"/>
      <c r="M242" s="308"/>
      <c r="N242" s="308"/>
      <c r="O242" s="308"/>
      <c r="P242" s="277"/>
      <c r="Q242" s="277"/>
      <c r="R242" s="277"/>
      <c r="S242" s="277"/>
      <c r="T242" s="277"/>
      <c r="U242" s="277"/>
      <c r="V242" s="277"/>
      <c r="W242" s="277"/>
    </row>
    <row r="243" spans="1:23" s="278" customFormat="1" ht="22.5" customHeight="1" x14ac:dyDescent="0.2">
      <c r="A243" s="294"/>
      <c r="B243" s="308"/>
      <c r="C243" s="308"/>
      <c r="D243" s="432"/>
      <c r="E243" s="48"/>
      <c r="F243" s="47"/>
      <c r="G243" s="49"/>
      <c r="H243" s="244"/>
      <c r="I243" s="308"/>
      <c r="J243" s="308"/>
      <c r="K243" s="244"/>
      <c r="L243" s="308"/>
      <c r="M243" s="308"/>
      <c r="N243" s="308"/>
      <c r="O243" s="308"/>
      <c r="P243" s="277"/>
      <c r="Q243" s="277"/>
      <c r="R243" s="277"/>
      <c r="S243" s="277"/>
      <c r="T243" s="277"/>
      <c r="U243" s="277"/>
      <c r="V243" s="277"/>
      <c r="W243" s="277"/>
    </row>
    <row r="244" spans="1:23" s="278" customFormat="1" ht="22.5" customHeight="1" x14ac:dyDescent="0.2">
      <c r="A244" s="294"/>
      <c r="B244" s="308"/>
      <c r="C244" s="308"/>
      <c r="D244" s="432"/>
      <c r="E244" s="35"/>
      <c r="F244" s="32"/>
      <c r="G244" s="36"/>
      <c r="H244" s="244"/>
      <c r="I244" s="308"/>
      <c r="J244" s="308"/>
      <c r="K244" s="244"/>
      <c r="L244" s="308"/>
      <c r="M244" s="308"/>
      <c r="N244" s="308"/>
      <c r="O244" s="308"/>
      <c r="P244" s="277"/>
      <c r="Q244" s="277"/>
      <c r="R244" s="277"/>
      <c r="S244" s="277"/>
      <c r="T244" s="277"/>
      <c r="U244" s="277"/>
      <c r="V244" s="277"/>
      <c r="W244" s="277"/>
    </row>
    <row r="245" spans="1:23" s="278" customFormat="1" ht="22.5" customHeight="1" x14ac:dyDescent="0.2">
      <c r="A245" s="294"/>
      <c r="B245" s="308"/>
      <c r="C245" s="308"/>
      <c r="D245" s="432"/>
      <c r="E245" s="48"/>
      <c r="F245" s="47"/>
      <c r="G245" s="49"/>
      <c r="H245" s="244"/>
      <c r="I245" s="308"/>
      <c r="J245" s="308"/>
      <c r="K245" s="244"/>
      <c r="L245" s="308"/>
      <c r="M245" s="308"/>
      <c r="N245" s="308"/>
      <c r="O245" s="308"/>
      <c r="P245" s="277"/>
      <c r="Q245" s="277"/>
      <c r="R245" s="277"/>
      <c r="S245" s="277"/>
      <c r="T245" s="277"/>
      <c r="U245" s="277"/>
      <c r="V245" s="277"/>
      <c r="W245" s="277"/>
    </row>
    <row r="246" spans="1:23" s="278" customFormat="1" ht="22.5" customHeight="1" x14ac:dyDescent="0.2">
      <c r="A246" s="246"/>
      <c r="B246" s="246"/>
      <c r="C246" s="246"/>
      <c r="D246" s="432"/>
      <c r="E246" s="35"/>
      <c r="F246" s="32"/>
      <c r="G246" s="36"/>
      <c r="H246" s="244"/>
      <c r="I246" s="246"/>
      <c r="J246" s="246"/>
      <c r="K246" s="244"/>
      <c r="L246" s="246"/>
      <c r="M246" s="246"/>
      <c r="N246" s="246"/>
      <c r="O246" s="246"/>
    </row>
    <row r="247" spans="1:23" s="278" customFormat="1" ht="22.5" customHeight="1" x14ac:dyDescent="0.2">
      <c r="A247" s="246"/>
      <c r="B247" s="246"/>
      <c r="C247" s="246"/>
      <c r="D247" s="432"/>
      <c r="E247" s="48"/>
      <c r="F247" s="47"/>
      <c r="G247" s="49"/>
      <c r="H247" s="244"/>
      <c r="I247" s="246"/>
      <c r="J247" s="246"/>
      <c r="K247" s="244"/>
      <c r="L247" s="246"/>
      <c r="M247" s="246"/>
      <c r="N247" s="246"/>
      <c r="O247" s="246"/>
    </row>
    <row r="248" spans="1:23" s="278" customFormat="1" ht="22.5" customHeight="1" x14ac:dyDescent="0.2">
      <c r="A248" s="246"/>
      <c r="B248" s="246"/>
      <c r="C248" s="246"/>
      <c r="D248" s="432"/>
      <c r="E248" s="35"/>
      <c r="F248" s="32"/>
      <c r="G248" s="36"/>
      <c r="H248" s="244"/>
      <c r="I248" s="246"/>
      <c r="J248" s="246"/>
      <c r="K248" s="244"/>
      <c r="L248" s="246"/>
      <c r="M248" s="246"/>
      <c r="N248" s="246"/>
      <c r="O248" s="246"/>
    </row>
    <row r="249" spans="1:23" s="278" customFormat="1" ht="22.5" customHeight="1" x14ac:dyDescent="0.2">
      <c r="A249" s="246"/>
      <c r="B249" s="246"/>
      <c r="C249" s="246"/>
      <c r="D249" s="432"/>
      <c r="E249" s="48"/>
      <c r="F249" s="47"/>
      <c r="G249" s="49"/>
      <c r="H249" s="244"/>
      <c r="I249" s="246"/>
      <c r="J249" s="246"/>
      <c r="K249" s="244"/>
      <c r="L249" s="246"/>
      <c r="M249" s="246"/>
      <c r="N249" s="246"/>
      <c r="O249" s="246"/>
    </row>
    <row r="250" spans="1:23" s="278" customFormat="1" ht="22.5" customHeight="1" x14ac:dyDescent="0.2">
      <c r="A250" s="246"/>
      <c r="B250" s="246"/>
      <c r="C250" s="246"/>
      <c r="D250" s="432"/>
      <c r="E250" s="35"/>
      <c r="F250" s="32"/>
      <c r="G250" s="36"/>
      <c r="H250" s="244"/>
      <c r="I250" s="246"/>
      <c r="J250" s="246"/>
      <c r="K250" s="244"/>
      <c r="L250" s="246"/>
      <c r="M250" s="246"/>
      <c r="N250" s="246"/>
      <c r="O250" s="246"/>
    </row>
    <row r="251" spans="1:23" s="278" customFormat="1" ht="22.5" customHeight="1" x14ac:dyDescent="0.2">
      <c r="A251" s="246"/>
      <c r="B251" s="246"/>
      <c r="C251" s="246"/>
      <c r="D251" s="432"/>
      <c r="E251" s="48"/>
      <c r="F251" s="47"/>
      <c r="G251" s="49"/>
      <c r="H251" s="244"/>
      <c r="I251" s="246"/>
      <c r="J251" s="246"/>
      <c r="K251" s="244"/>
      <c r="L251" s="246"/>
      <c r="M251" s="246"/>
      <c r="N251" s="246"/>
      <c r="O251" s="246"/>
    </row>
    <row r="252" spans="1:23" s="278" customFormat="1" ht="22.5" customHeight="1" x14ac:dyDescent="0.2">
      <c r="A252" s="246"/>
      <c r="B252" s="246"/>
      <c r="C252" s="246"/>
      <c r="D252" s="432"/>
      <c r="E252" s="35"/>
      <c r="F252" s="32"/>
      <c r="G252" s="36"/>
      <c r="H252" s="244"/>
      <c r="I252" s="246"/>
      <c r="J252" s="246"/>
      <c r="K252" s="244"/>
      <c r="L252" s="246"/>
      <c r="M252" s="246"/>
      <c r="N252" s="246"/>
      <c r="O252" s="246"/>
    </row>
    <row r="253" spans="1:23" s="278" customFormat="1" ht="22.5" customHeight="1" x14ac:dyDescent="0.2">
      <c r="A253" s="246"/>
      <c r="B253" s="246"/>
      <c r="C253" s="246"/>
      <c r="D253" s="432"/>
      <c r="E253" s="48"/>
      <c r="F253" s="47"/>
      <c r="G253" s="49"/>
      <c r="H253" s="244"/>
      <c r="I253" s="246"/>
      <c r="J253" s="246"/>
      <c r="K253" s="244"/>
      <c r="L253" s="246"/>
      <c r="M253" s="246"/>
      <c r="N253" s="246"/>
      <c r="O253" s="246"/>
    </row>
    <row r="254" spans="1:23" s="278" customFormat="1" ht="22.5" customHeight="1" x14ac:dyDescent="0.2">
      <c r="A254" s="246"/>
      <c r="B254" s="246"/>
      <c r="C254" s="246"/>
      <c r="D254" s="432"/>
      <c r="E254" s="35"/>
      <c r="F254" s="32"/>
      <c r="G254" s="36"/>
      <c r="H254" s="244"/>
      <c r="I254" s="246"/>
      <c r="J254" s="246"/>
      <c r="K254" s="244"/>
      <c r="L254" s="246"/>
      <c r="M254" s="246"/>
      <c r="N254" s="246"/>
      <c r="O254" s="246"/>
    </row>
    <row r="255" spans="1:23" s="278" customFormat="1" ht="22.5" customHeight="1" x14ac:dyDescent="0.2">
      <c r="A255" s="246"/>
      <c r="B255" s="246"/>
      <c r="C255" s="246"/>
      <c r="D255" s="432"/>
      <c r="E255" s="48"/>
      <c r="F255" s="47"/>
      <c r="G255" s="49"/>
      <c r="H255" s="244"/>
      <c r="I255" s="246"/>
      <c r="J255" s="246"/>
      <c r="K255" s="244"/>
      <c r="L255" s="246"/>
      <c r="M255" s="246"/>
      <c r="N255" s="246"/>
      <c r="O255" s="246"/>
    </row>
    <row r="256" spans="1:23" s="278" customFormat="1" ht="22.5" customHeight="1" x14ac:dyDescent="0.2">
      <c r="A256" s="246"/>
      <c r="B256" s="246"/>
      <c r="C256" s="246"/>
      <c r="D256" s="432"/>
      <c r="E256" s="35"/>
      <c r="F256" s="32"/>
      <c r="G256" s="36"/>
      <c r="H256" s="244"/>
      <c r="I256" s="246"/>
      <c r="J256" s="246"/>
      <c r="K256" s="244"/>
      <c r="L256" s="246"/>
      <c r="M256" s="246"/>
      <c r="N256" s="246"/>
      <c r="O256" s="246"/>
    </row>
    <row r="257" spans="1:15" s="278" customFormat="1" ht="22.5" customHeight="1" x14ac:dyDescent="0.2">
      <c r="A257" s="246"/>
      <c r="B257" s="246"/>
      <c r="C257" s="246"/>
      <c r="D257" s="432"/>
      <c r="E257" s="48"/>
      <c r="F257" s="47"/>
      <c r="G257" s="49"/>
      <c r="H257" s="244"/>
      <c r="I257" s="246"/>
      <c r="J257" s="246"/>
      <c r="K257" s="244"/>
      <c r="L257" s="246"/>
      <c r="M257" s="246"/>
      <c r="N257" s="246"/>
      <c r="O257" s="246"/>
    </row>
    <row r="258" spans="1:15" s="278" customFormat="1" ht="22.5" customHeight="1" x14ac:dyDescent="0.2">
      <c r="A258" s="246"/>
      <c r="B258" s="246"/>
      <c r="C258" s="246"/>
      <c r="D258" s="432"/>
      <c r="E258" s="35"/>
      <c r="F258" s="32"/>
      <c r="G258" s="36"/>
      <c r="H258" s="244"/>
      <c r="I258" s="246"/>
      <c r="J258" s="246"/>
      <c r="K258" s="244"/>
      <c r="L258" s="246"/>
      <c r="M258" s="246"/>
      <c r="N258" s="246"/>
      <c r="O258" s="246"/>
    </row>
    <row r="259" spans="1:15" s="278" customFormat="1" ht="22.5" customHeight="1" x14ac:dyDescent="0.2">
      <c r="A259" s="246"/>
      <c r="B259" s="246"/>
      <c r="C259" s="246"/>
      <c r="D259" s="432"/>
      <c r="E259" s="48"/>
      <c r="F259" s="47"/>
      <c r="G259" s="49"/>
      <c r="H259" s="244"/>
      <c r="I259" s="246"/>
      <c r="J259" s="246"/>
      <c r="K259" s="244"/>
      <c r="L259" s="246"/>
      <c r="M259" s="246"/>
      <c r="N259" s="246"/>
      <c r="O259" s="246"/>
    </row>
    <row r="260" spans="1:15" s="278" customFormat="1" ht="22.5" customHeight="1" x14ac:dyDescent="0.2">
      <c r="A260" s="246"/>
      <c r="B260" s="246"/>
      <c r="C260" s="246"/>
      <c r="D260" s="432"/>
      <c r="E260" s="35"/>
      <c r="F260" s="32"/>
      <c r="G260" s="36"/>
      <c r="H260" s="244"/>
      <c r="I260" s="246"/>
      <c r="J260" s="246"/>
      <c r="K260" s="244"/>
      <c r="L260" s="246"/>
      <c r="M260" s="246"/>
      <c r="N260" s="246"/>
      <c r="O260" s="246"/>
    </row>
    <row r="261" spans="1:15" s="278" customFormat="1" ht="22.5" customHeight="1" x14ac:dyDescent="0.2">
      <c r="A261" s="246"/>
      <c r="B261" s="246"/>
      <c r="C261" s="246"/>
      <c r="D261" s="432"/>
      <c r="E261" s="48"/>
      <c r="F261" s="47"/>
      <c r="G261" s="49"/>
      <c r="H261" s="244"/>
      <c r="I261" s="246"/>
      <c r="J261" s="246"/>
      <c r="K261" s="244"/>
      <c r="L261" s="246"/>
      <c r="M261" s="246"/>
      <c r="N261" s="246"/>
      <c r="O261" s="246"/>
    </row>
    <row r="262" spans="1:15" s="278" customFormat="1" ht="22.5" customHeight="1" x14ac:dyDescent="0.2">
      <c r="A262" s="246"/>
      <c r="B262" s="246"/>
      <c r="C262" s="246"/>
      <c r="D262" s="432"/>
      <c r="E262" s="35"/>
      <c r="F262" s="32"/>
      <c r="G262" s="36"/>
      <c r="H262" s="244"/>
      <c r="I262" s="246"/>
      <c r="J262" s="246"/>
      <c r="K262" s="244"/>
      <c r="L262" s="246"/>
      <c r="M262" s="246"/>
      <c r="N262" s="246"/>
      <c r="O262" s="246"/>
    </row>
    <row r="263" spans="1:15" s="278" customFormat="1" ht="22.5" customHeight="1" x14ac:dyDescent="0.2">
      <c r="A263" s="246"/>
      <c r="B263" s="246"/>
      <c r="C263" s="246"/>
      <c r="D263" s="432"/>
      <c r="E263" s="48"/>
      <c r="F263" s="47"/>
      <c r="G263" s="49"/>
      <c r="H263" s="244"/>
      <c r="I263" s="246"/>
      <c r="J263" s="246"/>
      <c r="K263" s="244"/>
      <c r="L263" s="246"/>
      <c r="M263" s="246"/>
      <c r="N263" s="246"/>
      <c r="O263" s="246"/>
    </row>
    <row r="264" spans="1:15" s="278" customFormat="1" ht="22.5" customHeight="1" x14ac:dyDescent="0.2">
      <c r="A264" s="246"/>
      <c r="B264" s="246"/>
      <c r="C264" s="246"/>
      <c r="D264" s="432"/>
      <c r="E264" s="35"/>
      <c r="F264" s="32"/>
      <c r="G264" s="36"/>
      <c r="H264" s="244"/>
      <c r="I264" s="246"/>
      <c r="J264" s="246"/>
      <c r="K264" s="244"/>
      <c r="L264" s="246"/>
      <c r="M264" s="246"/>
      <c r="N264" s="246"/>
      <c r="O264" s="246"/>
    </row>
    <row r="265" spans="1:15" s="278" customFormat="1" ht="22.5" customHeight="1" x14ac:dyDescent="0.2">
      <c r="A265" s="246"/>
      <c r="B265" s="246"/>
      <c r="C265" s="246"/>
      <c r="D265" s="432"/>
      <c r="E265" s="48"/>
      <c r="F265" s="47"/>
      <c r="G265" s="49"/>
      <c r="H265" s="244"/>
      <c r="I265" s="246"/>
      <c r="J265" s="246"/>
      <c r="K265" s="244"/>
      <c r="L265" s="246"/>
      <c r="M265" s="246"/>
      <c r="N265" s="246"/>
      <c r="O265" s="246"/>
    </row>
    <row r="266" spans="1:15" s="278" customFormat="1" ht="19.5" customHeight="1" x14ac:dyDescent="0.2">
      <c r="A266" s="246"/>
      <c r="B266" s="246"/>
      <c r="C266" s="246"/>
      <c r="D266" s="432"/>
      <c r="E266" s="35"/>
      <c r="F266" s="32"/>
      <c r="G266" s="36"/>
      <c r="H266" s="244"/>
      <c r="I266" s="246"/>
      <c r="J266" s="246"/>
      <c r="K266" s="244"/>
      <c r="L266" s="246"/>
      <c r="M266" s="246"/>
      <c r="N266" s="246"/>
      <c r="O266" s="246"/>
    </row>
    <row r="267" spans="1:15" s="278" customFormat="1" ht="19.5" customHeight="1" x14ac:dyDescent="0.2">
      <c r="A267" s="246"/>
      <c r="B267" s="246"/>
      <c r="C267" s="246"/>
      <c r="D267" s="432"/>
      <c r="E267" s="48"/>
      <c r="F267" s="47"/>
      <c r="G267" s="49"/>
      <c r="H267" s="244"/>
      <c r="I267" s="246"/>
      <c r="J267" s="246"/>
      <c r="K267" s="244"/>
      <c r="L267" s="246"/>
      <c r="M267" s="246"/>
      <c r="N267" s="246"/>
      <c r="O267" s="246"/>
    </row>
    <row r="268" spans="1:15" s="278" customFormat="1" ht="19.5" customHeight="1" x14ac:dyDescent="0.2">
      <c r="A268" s="246"/>
      <c r="B268" s="246"/>
      <c r="C268" s="246"/>
      <c r="D268" s="432"/>
      <c r="E268" s="35"/>
      <c r="F268" s="32"/>
      <c r="G268" s="36"/>
      <c r="H268" s="244"/>
      <c r="I268" s="246"/>
      <c r="J268" s="246"/>
      <c r="K268" s="244"/>
      <c r="L268" s="246"/>
      <c r="M268" s="246"/>
      <c r="N268" s="246"/>
      <c r="O268" s="246"/>
    </row>
    <row r="269" spans="1:15" s="278" customFormat="1" ht="19.5" customHeight="1" x14ac:dyDescent="0.2">
      <c r="A269" s="246"/>
      <c r="B269" s="246"/>
      <c r="C269" s="246"/>
      <c r="D269" s="432"/>
      <c r="E269" s="48"/>
      <c r="F269" s="47"/>
      <c r="G269" s="49"/>
      <c r="H269" s="244"/>
      <c r="I269" s="246"/>
      <c r="J269" s="246"/>
      <c r="K269" s="244"/>
      <c r="L269" s="246"/>
      <c r="M269" s="246"/>
      <c r="N269" s="246"/>
      <c r="O269" s="246"/>
    </row>
    <row r="270" spans="1:15" s="278" customFormat="1" ht="19.5" customHeight="1" x14ac:dyDescent="0.2">
      <c r="A270" s="246"/>
      <c r="B270" s="246"/>
      <c r="C270" s="246"/>
      <c r="D270" s="432"/>
      <c r="E270" s="35"/>
      <c r="F270" s="32"/>
      <c r="G270" s="36"/>
      <c r="H270" s="244"/>
      <c r="I270" s="246"/>
      <c r="J270" s="246"/>
      <c r="K270" s="244"/>
      <c r="L270" s="246"/>
      <c r="M270" s="246"/>
      <c r="N270" s="246"/>
      <c r="O270" s="246"/>
    </row>
    <row r="271" spans="1:15" s="278" customFormat="1" ht="19.5" customHeight="1" x14ac:dyDescent="0.2">
      <c r="A271" s="246"/>
      <c r="B271" s="246"/>
      <c r="C271" s="246"/>
      <c r="D271" s="432"/>
      <c r="E271" s="48"/>
      <c r="F271" s="47"/>
      <c r="G271" s="49"/>
      <c r="H271" s="244"/>
      <c r="I271" s="246"/>
      <c r="J271" s="246"/>
      <c r="K271" s="244"/>
      <c r="L271" s="246"/>
      <c r="M271" s="246"/>
      <c r="N271" s="246"/>
      <c r="O271" s="246"/>
    </row>
    <row r="272" spans="1:15" s="278" customFormat="1" ht="19.5" customHeight="1" x14ac:dyDescent="0.2">
      <c r="A272" s="246"/>
      <c r="B272" s="246"/>
      <c r="C272" s="246"/>
      <c r="D272" s="432"/>
      <c r="E272" s="35"/>
      <c r="F272" s="32"/>
      <c r="G272" s="36"/>
      <c r="H272" s="244"/>
      <c r="I272" s="246"/>
      <c r="J272" s="246"/>
      <c r="K272" s="244"/>
      <c r="L272" s="246"/>
      <c r="M272" s="246"/>
      <c r="N272" s="246"/>
      <c r="O272" s="246"/>
    </row>
    <row r="273" spans="1:15" s="278" customFormat="1" ht="19.5" customHeight="1" x14ac:dyDescent="0.2">
      <c r="A273" s="246"/>
      <c r="B273" s="246"/>
      <c r="C273" s="246"/>
      <c r="D273" s="432"/>
      <c r="E273" s="48"/>
      <c r="F273" s="47"/>
      <c r="G273" s="49"/>
      <c r="H273" s="244"/>
      <c r="I273" s="246"/>
      <c r="J273" s="246"/>
      <c r="K273" s="244"/>
      <c r="L273" s="246"/>
      <c r="M273" s="246"/>
      <c r="N273" s="246"/>
      <c r="O273" s="246"/>
    </row>
    <row r="274" spans="1:15" s="278" customFormat="1" ht="19.5" customHeight="1" x14ac:dyDescent="0.2">
      <c r="A274" s="246"/>
      <c r="B274" s="246"/>
      <c r="C274" s="246"/>
      <c r="D274" s="432"/>
      <c r="E274" s="35"/>
      <c r="F274" s="32"/>
      <c r="G274" s="36"/>
      <c r="H274" s="244"/>
      <c r="I274" s="246"/>
      <c r="J274" s="246"/>
      <c r="K274" s="244"/>
      <c r="L274" s="246"/>
      <c r="M274" s="246"/>
      <c r="N274" s="246"/>
      <c r="O274" s="246"/>
    </row>
    <row r="275" spans="1:15" s="278" customFormat="1" ht="19.5" customHeight="1" x14ac:dyDescent="0.2">
      <c r="A275" s="246"/>
      <c r="B275" s="246"/>
      <c r="C275" s="246"/>
      <c r="D275" s="432"/>
      <c r="E275" s="48"/>
      <c r="F275" s="47"/>
      <c r="G275" s="49"/>
      <c r="H275" s="244"/>
      <c r="I275" s="246"/>
      <c r="J275" s="246"/>
      <c r="K275" s="244"/>
      <c r="L275" s="246"/>
      <c r="M275" s="246"/>
      <c r="N275" s="246"/>
      <c r="O275" s="246"/>
    </row>
    <row r="276" spans="1:15" s="278" customFormat="1" ht="19.5" customHeight="1" x14ac:dyDescent="0.2">
      <c r="A276" s="246"/>
      <c r="B276" s="246"/>
      <c r="C276" s="246"/>
      <c r="D276" s="432"/>
      <c r="E276" s="35"/>
      <c r="F276" s="32"/>
      <c r="G276" s="36"/>
      <c r="H276" s="244"/>
      <c r="I276" s="246"/>
      <c r="J276" s="246"/>
      <c r="K276" s="244"/>
      <c r="L276" s="246"/>
      <c r="M276" s="246"/>
      <c r="N276" s="246"/>
      <c r="O276" s="246"/>
    </row>
    <row r="277" spans="1:15" s="278" customFormat="1" ht="19.5" customHeight="1" x14ac:dyDescent="0.2">
      <c r="A277" s="246"/>
      <c r="B277" s="246"/>
      <c r="C277" s="246"/>
      <c r="D277" s="432"/>
      <c r="E277" s="48"/>
      <c r="F277" s="47"/>
      <c r="G277" s="49"/>
      <c r="H277" s="244"/>
      <c r="I277" s="246"/>
      <c r="J277" s="246"/>
      <c r="K277" s="244"/>
      <c r="L277" s="246"/>
      <c r="M277" s="246"/>
      <c r="N277" s="246"/>
      <c r="O277" s="246"/>
    </row>
    <row r="278" spans="1:15" s="278" customFormat="1" ht="19.5" customHeight="1" x14ac:dyDescent="0.2">
      <c r="A278" s="246"/>
      <c r="B278" s="246"/>
      <c r="C278" s="246"/>
      <c r="D278" s="432"/>
      <c r="E278" s="35"/>
      <c r="F278" s="32"/>
      <c r="G278" s="36"/>
      <c r="H278" s="244"/>
      <c r="I278" s="246"/>
      <c r="J278" s="246"/>
      <c r="K278" s="244"/>
      <c r="L278" s="246"/>
      <c r="M278" s="246"/>
      <c r="N278" s="246"/>
      <c r="O278" s="246"/>
    </row>
    <row r="279" spans="1:15" s="278" customFormat="1" ht="19.5" customHeight="1" x14ac:dyDescent="0.2">
      <c r="A279" s="246"/>
      <c r="B279" s="246"/>
      <c r="C279" s="246"/>
      <c r="D279" s="432"/>
      <c r="E279" s="48"/>
      <c r="F279" s="47"/>
      <c r="G279" s="49"/>
      <c r="H279" s="244"/>
      <c r="I279" s="246"/>
      <c r="J279" s="246"/>
      <c r="K279" s="244"/>
      <c r="L279" s="246"/>
      <c r="M279" s="246"/>
      <c r="N279" s="246"/>
      <c r="O279" s="246"/>
    </row>
    <row r="280" spans="1:15" s="278" customFormat="1" ht="19.5" customHeight="1" x14ac:dyDescent="0.2">
      <c r="A280" s="246"/>
      <c r="B280" s="246"/>
      <c r="C280" s="246"/>
      <c r="D280" s="432"/>
      <c r="E280" s="35"/>
      <c r="F280" s="32"/>
      <c r="G280" s="36"/>
      <c r="H280" s="244"/>
      <c r="I280" s="246"/>
      <c r="J280" s="246"/>
      <c r="K280" s="244"/>
      <c r="L280" s="246"/>
      <c r="M280" s="246"/>
      <c r="N280" s="246"/>
      <c r="O280" s="246"/>
    </row>
    <row r="281" spans="1:15" s="278" customFormat="1" ht="19.5" customHeight="1" x14ac:dyDescent="0.2">
      <c r="A281" s="246"/>
      <c r="B281" s="246"/>
      <c r="C281" s="246"/>
      <c r="D281" s="432"/>
      <c r="E281" s="48"/>
      <c r="F281" s="47"/>
      <c r="G281" s="49"/>
      <c r="H281" s="244"/>
      <c r="I281" s="246"/>
      <c r="J281" s="246"/>
      <c r="K281" s="244"/>
      <c r="L281" s="246"/>
      <c r="M281" s="246"/>
      <c r="N281" s="246"/>
      <c r="O281" s="246"/>
    </row>
    <row r="282" spans="1:15" s="278" customFormat="1" ht="15.75" customHeight="1" x14ac:dyDescent="0.2">
      <c r="A282" s="246"/>
      <c r="B282" s="246"/>
      <c r="C282" s="246"/>
      <c r="D282" s="432"/>
      <c r="E282" s="35"/>
      <c r="F282" s="32"/>
      <c r="G282" s="36"/>
      <c r="H282" s="244"/>
      <c r="I282" s="246"/>
      <c r="J282" s="246"/>
      <c r="K282" s="244"/>
      <c r="L282" s="246"/>
      <c r="M282" s="246"/>
      <c r="N282" s="246"/>
      <c r="O282" s="246"/>
    </row>
    <row r="283" spans="1:15" s="278" customFormat="1" ht="15.75" customHeight="1" x14ac:dyDescent="0.2">
      <c r="A283" s="246"/>
      <c r="B283" s="246"/>
      <c r="C283" s="246"/>
      <c r="D283" s="432"/>
      <c r="E283" s="48"/>
      <c r="F283" s="47"/>
      <c r="G283" s="49"/>
      <c r="H283" s="244"/>
      <c r="I283" s="246"/>
      <c r="J283" s="246"/>
      <c r="K283" s="244"/>
      <c r="L283" s="246"/>
      <c r="M283" s="246"/>
      <c r="N283" s="246"/>
      <c r="O283" s="246"/>
    </row>
    <row r="284" spans="1:15" s="278" customFormat="1" ht="15.75" customHeight="1" x14ac:dyDescent="0.2">
      <c r="A284" s="246"/>
      <c r="B284" s="246"/>
      <c r="C284" s="246"/>
      <c r="D284" s="432"/>
      <c r="E284" s="35"/>
      <c r="F284" s="32"/>
      <c r="G284" s="36"/>
      <c r="H284" s="244"/>
      <c r="I284" s="246"/>
      <c r="J284" s="246"/>
      <c r="K284" s="244"/>
      <c r="L284" s="246"/>
      <c r="M284" s="246"/>
      <c r="N284" s="246"/>
      <c r="O284" s="246"/>
    </row>
    <row r="285" spans="1:15" s="278" customFormat="1" ht="15.75" customHeight="1" x14ac:dyDescent="0.2">
      <c r="A285" s="246"/>
      <c r="B285" s="246"/>
      <c r="C285" s="246"/>
      <c r="D285" s="432"/>
      <c r="E285" s="48"/>
      <c r="F285" s="47"/>
      <c r="G285" s="49"/>
      <c r="H285" s="244"/>
      <c r="I285" s="246"/>
      <c r="J285" s="246"/>
      <c r="K285" s="244"/>
      <c r="L285" s="246"/>
      <c r="M285" s="246"/>
      <c r="N285" s="246"/>
      <c r="O285" s="246"/>
    </row>
    <row r="286" spans="1:15" s="278" customFormat="1" ht="15.75" customHeight="1" x14ac:dyDescent="0.2">
      <c r="A286" s="246"/>
      <c r="B286" s="246"/>
      <c r="C286" s="246"/>
      <c r="D286" s="432"/>
      <c r="E286" s="35"/>
      <c r="F286" s="32"/>
      <c r="G286" s="36"/>
      <c r="H286" s="244"/>
      <c r="I286" s="246"/>
      <c r="J286" s="246"/>
      <c r="K286" s="244"/>
      <c r="L286" s="246"/>
      <c r="M286" s="246"/>
      <c r="N286" s="246"/>
      <c r="O286" s="246"/>
    </row>
    <row r="287" spans="1:15" s="278" customFormat="1" ht="15.75" customHeight="1" x14ac:dyDescent="0.2">
      <c r="A287" s="246"/>
      <c r="B287" s="246"/>
      <c r="C287" s="246"/>
      <c r="D287" s="432"/>
      <c r="E287" s="48"/>
      <c r="F287" s="47"/>
      <c r="G287" s="49"/>
      <c r="H287" s="244"/>
      <c r="I287" s="246"/>
      <c r="J287" s="246"/>
      <c r="K287" s="244"/>
      <c r="L287" s="246"/>
      <c r="M287" s="246"/>
      <c r="N287" s="246"/>
      <c r="O287" s="246"/>
    </row>
    <row r="288" spans="1:15" s="278" customFormat="1" ht="15.75" customHeight="1" x14ac:dyDescent="0.2">
      <c r="A288" s="246"/>
      <c r="B288" s="246"/>
      <c r="C288" s="246"/>
      <c r="D288" s="432"/>
      <c r="E288" s="35"/>
      <c r="F288" s="32"/>
      <c r="G288" s="36"/>
      <c r="H288" s="244"/>
      <c r="I288" s="246"/>
      <c r="J288" s="246"/>
      <c r="K288" s="244"/>
      <c r="L288" s="246"/>
      <c r="M288" s="246"/>
      <c r="N288" s="246"/>
      <c r="O288" s="246"/>
    </row>
    <row r="289" spans="1:15" s="278" customFormat="1" ht="15.75" customHeight="1" x14ac:dyDescent="0.2">
      <c r="A289" s="246"/>
      <c r="B289" s="246"/>
      <c r="C289" s="246"/>
      <c r="D289" s="432"/>
      <c r="E289" s="48"/>
      <c r="F289" s="47"/>
      <c r="G289" s="49"/>
      <c r="H289" s="244"/>
      <c r="I289" s="246"/>
      <c r="J289" s="246"/>
      <c r="K289" s="244"/>
      <c r="L289" s="246"/>
      <c r="M289" s="246"/>
      <c r="N289" s="246"/>
      <c r="O289" s="246"/>
    </row>
    <row r="290" spans="1:15" s="278" customFormat="1" ht="15.75" customHeight="1" x14ac:dyDescent="0.2">
      <c r="A290" s="246"/>
      <c r="B290" s="246"/>
      <c r="C290" s="246"/>
      <c r="D290" s="432"/>
      <c r="E290" s="35"/>
      <c r="F290" s="32"/>
      <c r="G290" s="36"/>
      <c r="H290" s="244"/>
      <c r="I290" s="246"/>
      <c r="J290" s="246"/>
      <c r="K290" s="244"/>
      <c r="L290" s="246"/>
      <c r="M290" s="246"/>
      <c r="N290" s="246"/>
      <c r="O290" s="246"/>
    </row>
    <row r="291" spans="1:15" s="278" customFormat="1" ht="15.75" customHeight="1" x14ac:dyDescent="0.2">
      <c r="A291" s="246"/>
      <c r="B291" s="246"/>
      <c r="C291" s="246"/>
      <c r="D291" s="432"/>
      <c r="E291" s="48"/>
      <c r="F291" s="47"/>
      <c r="G291" s="49"/>
      <c r="H291" s="244"/>
      <c r="I291" s="246"/>
      <c r="J291" s="246"/>
      <c r="K291" s="244"/>
      <c r="L291" s="246"/>
      <c r="M291" s="246"/>
      <c r="N291" s="246"/>
      <c r="O291" s="246"/>
    </row>
    <row r="292" spans="1:15" s="278" customFormat="1" ht="15.75" customHeight="1" x14ac:dyDescent="0.2">
      <c r="A292" s="246"/>
      <c r="B292" s="246"/>
      <c r="C292" s="246"/>
      <c r="D292" s="432"/>
      <c r="E292" s="35"/>
      <c r="F292" s="32"/>
      <c r="G292" s="36"/>
      <c r="H292" s="244"/>
      <c r="I292" s="246"/>
      <c r="J292" s="246"/>
      <c r="K292" s="244"/>
      <c r="L292" s="246"/>
      <c r="M292" s="246"/>
      <c r="N292" s="246"/>
      <c r="O292" s="246"/>
    </row>
    <row r="293" spans="1:15" s="278" customFormat="1" ht="15.75" customHeight="1" x14ac:dyDescent="0.2">
      <c r="A293" s="246"/>
      <c r="B293" s="246"/>
      <c r="C293" s="246"/>
      <c r="D293" s="432"/>
      <c r="E293" s="48"/>
      <c r="F293" s="47"/>
      <c r="G293" s="49"/>
      <c r="H293" s="244"/>
      <c r="I293" s="246"/>
      <c r="J293" s="246"/>
      <c r="K293" s="244"/>
      <c r="L293" s="246"/>
      <c r="M293" s="246"/>
      <c r="N293" s="246"/>
      <c r="O293" s="246"/>
    </row>
    <row r="294" spans="1:15" s="278" customFormat="1" ht="15.75" customHeight="1" x14ac:dyDescent="0.2">
      <c r="A294" s="246"/>
      <c r="B294" s="246"/>
      <c r="C294" s="246"/>
      <c r="D294" s="432"/>
      <c r="E294" s="35"/>
      <c r="F294" s="32"/>
      <c r="G294" s="36"/>
      <c r="H294" s="244"/>
      <c r="I294" s="246"/>
      <c r="J294" s="246"/>
      <c r="K294" s="244"/>
      <c r="L294" s="246"/>
      <c r="M294" s="246"/>
      <c r="N294" s="246"/>
      <c r="O294" s="246"/>
    </row>
    <row r="295" spans="1:15" s="278" customFormat="1" ht="15.75" customHeight="1" x14ac:dyDescent="0.2">
      <c r="A295" s="246"/>
      <c r="B295" s="246"/>
      <c r="C295" s="246"/>
      <c r="D295" s="432"/>
      <c r="E295" s="48"/>
      <c r="F295" s="47"/>
      <c r="G295" s="49"/>
      <c r="H295" s="244"/>
      <c r="I295" s="246"/>
      <c r="J295" s="246"/>
      <c r="K295" s="244"/>
      <c r="L295" s="246"/>
      <c r="M295" s="246"/>
      <c r="N295" s="246"/>
      <c r="O295" s="246"/>
    </row>
    <row r="296" spans="1:15" s="278" customFormat="1" ht="15.75" customHeight="1" x14ac:dyDescent="0.2">
      <c r="A296" s="246"/>
      <c r="B296" s="246"/>
      <c r="C296" s="246"/>
      <c r="D296" s="432"/>
      <c r="E296" s="35"/>
      <c r="F296" s="32"/>
      <c r="G296" s="36"/>
      <c r="H296" s="244"/>
      <c r="I296" s="246"/>
      <c r="J296" s="246"/>
      <c r="K296" s="244"/>
      <c r="L296" s="246"/>
      <c r="M296" s="246"/>
      <c r="N296" s="246"/>
      <c r="O296" s="246"/>
    </row>
    <row r="297" spans="1:15" s="278" customFormat="1" ht="15.75" customHeight="1" x14ac:dyDescent="0.2">
      <c r="A297" s="246"/>
      <c r="B297" s="246"/>
      <c r="C297" s="246"/>
      <c r="D297" s="432"/>
      <c r="E297" s="48"/>
      <c r="F297" s="47"/>
      <c r="G297" s="49"/>
      <c r="H297" s="244"/>
      <c r="I297" s="246"/>
      <c r="J297" s="246"/>
      <c r="K297" s="244"/>
      <c r="L297" s="246"/>
      <c r="M297" s="246"/>
      <c r="N297" s="246"/>
      <c r="O297" s="246"/>
    </row>
    <row r="298" spans="1:15" s="278" customFormat="1" ht="15.75" customHeight="1" x14ac:dyDescent="0.2">
      <c r="A298" s="246"/>
      <c r="B298" s="246"/>
      <c r="C298" s="246"/>
      <c r="D298" s="432"/>
      <c r="E298" s="35"/>
      <c r="F298" s="32"/>
      <c r="G298" s="36"/>
      <c r="H298" s="244"/>
      <c r="I298" s="246"/>
      <c r="J298" s="246"/>
      <c r="K298" s="244"/>
      <c r="L298" s="246"/>
      <c r="M298" s="246"/>
      <c r="N298" s="246"/>
      <c r="O298" s="246"/>
    </row>
    <row r="299" spans="1:15" s="278" customFormat="1" ht="15.75" customHeight="1" x14ac:dyDescent="0.2">
      <c r="A299" s="246"/>
      <c r="B299" s="246"/>
      <c r="C299" s="246"/>
      <c r="D299" s="432"/>
      <c r="E299" s="48"/>
      <c r="F299" s="47"/>
      <c r="G299" s="49"/>
      <c r="H299" s="244"/>
      <c r="I299" s="246"/>
      <c r="J299" s="246"/>
      <c r="K299" s="244"/>
      <c r="L299" s="246"/>
      <c r="M299" s="246"/>
      <c r="N299" s="246"/>
      <c r="O299" s="246"/>
    </row>
    <row r="300" spans="1:15" s="278" customFormat="1" ht="15.75" customHeight="1" x14ac:dyDescent="0.2">
      <c r="A300" s="246"/>
      <c r="B300" s="246"/>
      <c r="C300" s="246"/>
      <c r="D300" s="432"/>
      <c r="E300" s="35"/>
      <c r="F300" s="32"/>
      <c r="G300" s="36"/>
      <c r="H300" s="244"/>
      <c r="I300" s="246"/>
      <c r="J300" s="246"/>
      <c r="K300" s="244"/>
      <c r="L300" s="246"/>
      <c r="M300" s="246"/>
      <c r="N300" s="246"/>
      <c r="O300" s="246"/>
    </row>
    <row r="301" spans="1:15" s="278" customFormat="1" ht="15.75" customHeight="1" x14ac:dyDescent="0.2">
      <c r="A301" s="246"/>
      <c r="B301" s="246"/>
      <c r="C301" s="246"/>
      <c r="D301" s="432"/>
      <c r="E301" s="48"/>
      <c r="F301" s="47"/>
      <c r="G301" s="49"/>
      <c r="H301" s="244"/>
      <c r="I301" s="246"/>
      <c r="J301" s="246"/>
      <c r="K301" s="244"/>
      <c r="L301" s="246"/>
      <c r="M301" s="246"/>
      <c r="N301" s="246"/>
      <c r="O301" s="246"/>
    </row>
    <row r="302" spans="1:15" s="278" customFormat="1" ht="15.75" customHeight="1" x14ac:dyDescent="0.2">
      <c r="A302" s="246"/>
      <c r="B302" s="246"/>
      <c r="C302" s="246"/>
      <c r="D302" s="432"/>
      <c r="E302" s="35"/>
      <c r="F302" s="32"/>
      <c r="G302" s="36"/>
      <c r="H302" s="244"/>
      <c r="I302" s="246"/>
      <c r="J302" s="246"/>
      <c r="K302" s="244"/>
      <c r="L302" s="246"/>
      <c r="M302" s="246"/>
      <c r="N302" s="246"/>
      <c r="O302" s="246"/>
    </row>
    <row r="303" spans="1:15" s="278" customFormat="1" ht="15.75" customHeight="1" x14ac:dyDescent="0.2">
      <c r="A303" s="246"/>
      <c r="B303" s="246"/>
      <c r="C303" s="246"/>
      <c r="D303" s="432"/>
      <c r="E303" s="48"/>
      <c r="F303" s="47"/>
      <c r="G303" s="49"/>
      <c r="H303" s="244"/>
      <c r="I303" s="246"/>
      <c r="J303" s="246"/>
      <c r="K303" s="244"/>
      <c r="L303" s="246"/>
      <c r="M303" s="246"/>
      <c r="N303" s="246"/>
      <c r="O303" s="246"/>
    </row>
    <row r="304" spans="1:15" s="278" customFormat="1" ht="15.75" customHeight="1" x14ac:dyDescent="0.2">
      <c r="A304" s="246"/>
      <c r="B304" s="246"/>
      <c r="C304" s="246"/>
      <c r="D304" s="432"/>
      <c r="E304" s="35"/>
      <c r="F304" s="32"/>
      <c r="G304" s="36"/>
      <c r="H304" s="244"/>
      <c r="I304" s="246"/>
      <c r="J304" s="246"/>
      <c r="K304" s="244"/>
      <c r="L304" s="246"/>
      <c r="M304" s="246"/>
      <c r="N304" s="246"/>
      <c r="O304" s="246"/>
    </row>
    <row r="305" spans="1:15" s="278" customFormat="1" ht="15.75" customHeight="1" x14ac:dyDescent="0.2">
      <c r="A305" s="246"/>
      <c r="B305" s="246"/>
      <c r="C305" s="246"/>
      <c r="D305" s="432"/>
      <c r="E305" s="48"/>
      <c r="F305" s="47"/>
      <c r="G305" s="49"/>
      <c r="H305" s="244"/>
      <c r="I305" s="246"/>
      <c r="J305" s="246"/>
      <c r="K305" s="244"/>
      <c r="L305" s="246"/>
      <c r="M305" s="246"/>
      <c r="N305" s="246"/>
      <c r="O305" s="246"/>
    </row>
    <row r="306" spans="1:15" s="278" customFormat="1" ht="15.75" customHeight="1" x14ac:dyDescent="0.2">
      <c r="A306" s="246"/>
      <c r="B306" s="246"/>
      <c r="C306" s="246"/>
      <c r="D306" s="432"/>
      <c r="E306" s="35"/>
      <c r="F306" s="32"/>
      <c r="G306" s="36"/>
      <c r="H306" s="244"/>
      <c r="I306" s="246"/>
      <c r="J306" s="246"/>
      <c r="K306" s="244"/>
      <c r="L306" s="246"/>
      <c r="M306" s="246"/>
      <c r="N306" s="246"/>
      <c r="O306" s="246"/>
    </row>
    <row r="307" spans="1:15" s="278" customFormat="1" ht="15.75" customHeight="1" x14ac:dyDescent="0.2">
      <c r="A307" s="246"/>
      <c r="B307" s="246"/>
      <c r="C307" s="246"/>
      <c r="D307" s="432"/>
      <c r="E307" s="48"/>
      <c r="F307" s="47"/>
      <c r="G307" s="49"/>
      <c r="H307" s="244"/>
      <c r="I307" s="246"/>
      <c r="J307" s="246"/>
      <c r="K307" s="244"/>
      <c r="L307" s="246"/>
      <c r="M307" s="246"/>
      <c r="N307" s="246"/>
      <c r="O307" s="246"/>
    </row>
    <row r="308" spans="1:15" s="278" customFormat="1" ht="15.75" customHeight="1" x14ac:dyDescent="0.2">
      <c r="A308" s="246"/>
      <c r="B308" s="246"/>
      <c r="C308" s="246"/>
      <c r="D308" s="432"/>
      <c r="E308" s="35"/>
      <c r="F308" s="32"/>
      <c r="G308" s="36"/>
      <c r="H308" s="244"/>
      <c r="I308" s="246"/>
      <c r="J308" s="246"/>
      <c r="K308" s="244"/>
      <c r="L308" s="246"/>
      <c r="M308" s="246"/>
      <c r="N308" s="246"/>
      <c r="O308" s="246"/>
    </row>
    <row r="309" spans="1:15" s="278" customFormat="1" ht="15.75" customHeight="1" x14ac:dyDescent="0.2">
      <c r="A309" s="246"/>
      <c r="B309" s="246"/>
      <c r="C309" s="246"/>
      <c r="D309" s="432"/>
      <c r="E309" s="48"/>
      <c r="F309" s="47"/>
      <c r="G309" s="49"/>
      <c r="H309" s="244"/>
      <c r="I309" s="246"/>
      <c r="J309" s="246"/>
      <c r="K309" s="244"/>
      <c r="L309" s="246"/>
      <c r="M309" s="246"/>
      <c r="N309" s="246"/>
      <c r="O309" s="246"/>
    </row>
    <row r="310" spans="1:15" s="278" customFormat="1" ht="15.75" customHeight="1" x14ac:dyDescent="0.2">
      <c r="A310" s="246"/>
      <c r="B310" s="246"/>
      <c r="C310" s="246"/>
      <c r="D310" s="432"/>
      <c r="E310" s="35"/>
      <c r="F310" s="32"/>
      <c r="G310" s="36"/>
      <c r="H310" s="244"/>
      <c r="I310" s="246"/>
      <c r="J310" s="246"/>
      <c r="K310" s="244"/>
      <c r="L310" s="246"/>
      <c r="M310" s="246"/>
      <c r="N310" s="246"/>
      <c r="O310" s="246"/>
    </row>
    <row r="311" spans="1:15" s="278" customFormat="1" ht="15.75" customHeight="1" x14ac:dyDescent="0.2">
      <c r="A311" s="246"/>
      <c r="B311" s="246"/>
      <c r="C311" s="246"/>
      <c r="D311" s="432"/>
      <c r="E311" s="48"/>
      <c r="F311" s="47"/>
      <c r="G311" s="49"/>
      <c r="H311" s="244"/>
      <c r="I311" s="246"/>
      <c r="J311" s="246"/>
      <c r="K311" s="244"/>
      <c r="L311" s="246"/>
      <c r="M311" s="246"/>
      <c r="N311" s="246"/>
      <c r="O311" s="246"/>
    </row>
    <row r="312" spans="1:15" s="278" customFormat="1" ht="15.75" customHeight="1" x14ac:dyDescent="0.2">
      <c r="A312" s="246"/>
      <c r="B312" s="246"/>
      <c r="C312" s="246"/>
      <c r="D312" s="432"/>
      <c r="E312" s="35"/>
      <c r="F312" s="32"/>
      <c r="G312" s="36"/>
      <c r="H312" s="244"/>
      <c r="I312" s="246"/>
      <c r="J312" s="246"/>
      <c r="K312" s="244"/>
      <c r="L312" s="246"/>
      <c r="M312" s="246"/>
      <c r="N312" s="246"/>
      <c r="O312" s="246"/>
    </row>
    <row r="313" spans="1:15" s="278" customFormat="1" ht="15.75" customHeight="1" x14ac:dyDescent="0.2">
      <c r="A313" s="246"/>
      <c r="B313" s="246"/>
      <c r="C313" s="246"/>
      <c r="D313" s="432"/>
      <c r="E313" s="48"/>
      <c r="F313" s="47"/>
      <c r="G313" s="49"/>
      <c r="H313" s="244"/>
      <c r="I313" s="246"/>
      <c r="J313" s="246"/>
      <c r="K313" s="244"/>
      <c r="L313" s="246"/>
      <c r="M313" s="246"/>
      <c r="N313" s="246"/>
      <c r="O313" s="246"/>
    </row>
    <row r="314" spans="1:15" s="278" customFormat="1" ht="15.75" customHeight="1" x14ac:dyDescent="0.2">
      <c r="A314" s="246"/>
      <c r="B314" s="246"/>
      <c r="C314" s="246"/>
      <c r="D314" s="432"/>
      <c r="E314" s="35"/>
      <c r="F314" s="32"/>
      <c r="G314" s="36"/>
      <c r="H314" s="244"/>
      <c r="I314" s="246"/>
      <c r="J314" s="246"/>
      <c r="K314" s="244"/>
      <c r="L314" s="246"/>
      <c r="M314" s="246"/>
      <c r="N314" s="246"/>
      <c r="O314" s="246"/>
    </row>
    <row r="315" spans="1:15" s="278" customFormat="1" ht="15.75" customHeight="1" x14ac:dyDescent="0.2">
      <c r="A315" s="246"/>
      <c r="B315" s="246"/>
      <c r="C315" s="246"/>
      <c r="D315" s="432"/>
      <c r="E315" s="48"/>
      <c r="F315" s="47"/>
      <c r="G315" s="49"/>
      <c r="H315" s="244"/>
      <c r="I315" s="246"/>
      <c r="J315" s="246"/>
      <c r="K315" s="244"/>
      <c r="L315" s="246"/>
      <c r="M315" s="246"/>
      <c r="N315" s="246"/>
      <c r="O315" s="246"/>
    </row>
    <row r="316" spans="1:15" s="278" customFormat="1" ht="15.75" customHeight="1" x14ac:dyDescent="0.2">
      <c r="A316" s="246"/>
      <c r="B316" s="246"/>
      <c r="C316" s="246"/>
      <c r="D316" s="432"/>
      <c r="E316" s="35"/>
      <c r="F316" s="32"/>
      <c r="G316" s="36"/>
      <c r="H316" s="244"/>
      <c r="I316" s="246"/>
      <c r="J316" s="246"/>
      <c r="K316" s="244"/>
      <c r="L316" s="246"/>
      <c r="M316" s="246"/>
      <c r="N316" s="246"/>
      <c r="O316" s="246"/>
    </row>
    <row r="317" spans="1:15" s="278" customFormat="1" ht="15.75" customHeight="1" x14ac:dyDescent="0.2">
      <c r="A317" s="246"/>
      <c r="B317" s="246"/>
      <c r="C317" s="246"/>
      <c r="D317" s="432"/>
      <c r="E317" s="48"/>
      <c r="F317" s="47"/>
      <c r="G317" s="49"/>
      <c r="H317" s="244"/>
      <c r="I317" s="246"/>
      <c r="J317" s="246"/>
      <c r="K317" s="244"/>
      <c r="L317" s="246"/>
      <c r="M317" s="246"/>
      <c r="N317" s="246"/>
      <c r="O317" s="246"/>
    </row>
    <row r="318" spans="1:15" s="278" customFormat="1" ht="15.75" customHeight="1" x14ac:dyDescent="0.2">
      <c r="A318" s="246"/>
      <c r="B318" s="246"/>
      <c r="C318" s="246"/>
      <c r="D318" s="432"/>
      <c r="E318" s="35"/>
      <c r="F318" s="32"/>
      <c r="G318" s="36"/>
      <c r="H318" s="244"/>
      <c r="I318" s="246"/>
      <c r="J318" s="246"/>
      <c r="K318" s="244"/>
      <c r="L318" s="246"/>
      <c r="M318" s="246"/>
      <c r="N318" s="246"/>
      <c r="O318" s="246"/>
    </row>
    <row r="319" spans="1:15" s="278" customFormat="1" ht="15.75" customHeight="1" x14ac:dyDescent="0.2">
      <c r="A319" s="246"/>
      <c r="B319" s="246"/>
      <c r="C319" s="246"/>
      <c r="D319" s="432"/>
      <c r="E319" s="48"/>
      <c r="F319" s="47"/>
      <c r="G319" s="49"/>
      <c r="H319" s="244"/>
      <c r="I319" s="246"/>
      <c r="J319" s="246"/>
      <c r="K319" s="244"/>
      <c r="L319" s="246"/>
      <c r="M319" s="246"/>
      <c r="N319" s="246"/>
      <c r="O319" s="246"/>
    </row>
    <row r="320" spans="1:15" s="278" customFormat="1" ht="15.75" customHeight="1" x14ac:dyDescent="0.2">
      <c r="A320" s="246"/>
      <c r="B320" s="246"/>
      <c r="C320" s="246"/>
      <c r="D320" s="432"/>
      <c r="E320" s="35"/>
      <c r="F320" s="32"/>
      <c r="G320" s="36"/>
      <c r="H320" s="244"/>
      <c r="I320" s="246"/>
      <c r="J320" s="246"/>
      <c r="K320" s="244"/>
      <c r="L320" s="246"/>
      <c r="M320" s="246"/>
      <c r="N320" s="246"/>
      <c r="O320" s="246"/>
    </row>
    <row r="321" spans="1:15" s="278" customFormat="1" ht="15.75" customHeight="1" x14ac:dyDescent="0.2">
      <c r="A321" s="246"/>
      <c r="B321" s="246"/>
      <c r="C321" s="246"/>
      <c r="D321" s="432"/>
      <c r="E321" s="48"/>
      <c r="F321" s="47"/>
      <c r="G321" s="49"/>
      <c r="H321" s="244"/>
      <c r="I321" s="246"/>
      <c r="J321" s="246"/>
      <c r="K321" s="244"/>
      <c r="L321" s="246"/>
      <c r="M321" s="246"/>
      <c r="N321" s="246"/>
      <c r="O321" s="246"/>
    </row>
    <row r="322" spans="1:15" s="278" customFormat="1" ht="15.75" customHeight="1" x14ac:dyDescent="0.2">
      <c r="A322" s="246"/>
      <c r="B322" s="246"/>
      <c r="C322" s="246"/>
      <c r="D322" s="432"/>
      <c r="E322" s="35"/>
      <c r="F322" s="32"/>
      <c r="G322" s="36"/>
      <c r="H322" s="244"/>
      <c r="I322" s="246"/>
      <c r="J322" s="246"/>
      <c r="K322" s="244"/>
      <c r="L322" s="246"/>
      <c r="M322" s="246"/>
      <c r="N322" s="246"/>
      <c r="O322" s="246"/>
    </row>
    <row r="323" spans="1:15" s="278" customFormat="1" ht="15.75" customHeight="1" x14ac:dyDescent="0.2">
      <c r="A323" s="246"/>
      <c r="B323" s="246"/>
      <c r="C323" s="246"/>
      <c r="D323" s="432"/>
      <c r="E323" s="48"/>
      <c r="F323" s="47"/>
      <c r="G323" s="49"/>
      <c r="H323" s="244"/>
      <c r="I323" s="246"/>
      <c r="J323" s="246"/>
      <c r="K323" s="244"/>
      <c r="L323" s="246"/>
      <c r="M323" s="246"/>
      <c r="N323" s="246"/>
      <c r="O323" s="246"/>
    </row>
    <row r="324" spans="1:15" s="278" customFormat="1" ht="15.75" customHeight="1" x14ac:dyDescent="0.2">
      <c r="A324" s="246"/>
      <c r="B324" s="246"/>
      <c r="C324" s="246"/>
      <c r="D324" s="432"/>
      <c r="E324" s="35"/>
      <c r="F324" s="32"/>
      <c r="G324" s="36"/>
      <c r="H324" s="244"/>
      <c r="I324" s="246"/>
      <c r="J324" s="246"/>
      <c r="K324" s="244"/>
      <c r="L324" s="246"/>
      <c r="M324" s="246"/>
      <c r="N324" s="246"/>
      <c r="O324" s="246"/>
    </row>
    <row r="325" spans="1:15" s="278" customFormat="1" ht="15.75" customHeight="1" x14ac:dyDescent="0.2">
      <c r="A325" s="246"/>
      <c r="B325" s="246"/>
      <c r="C325" s="246"/>
      <c r="D325" s="432"/>
      <c r="E325" s="48"/>
      <c r="F325" s="47"/>
      <c r="G325" s="49"/>
      <c r="H325" s="244"/>
      <c r="I325" s="246"/>
      <c r="J325" s="246"/>
      <c r="K325" s="244"/>
      <c r="L325" s="246"/>
      <c r="M325" s="246"/>
      <c r="N325" s="246"/>
      <c r="O325" s="246"/>
    </row>
    <row r="326" spans="1:15" s="278" customFormat="1" ht="15.75" customHeight="1" x14ac:dyDescent="0.2">
      <c r="A326" s="246"/>
      <c r="B326" s="246"/>
      <c r="C326" s="246"/>
      <c r="D326" s="432"/>
      <c r="E326" s="35"/>
      <c r="F326" s="32"/>
      <c r="G326" s="36"/>
      <c r="H326" s="244"/>
      <c r="I326" s="246"/>
      <c r="J326" s="246"/>
      <c r="K326" s="244"/>
      <c r="L326" s="246"/>
      <c r="M326" s="246"/>
      <c r="N326" s="246"/>
      <c r="O326" s="246"/>
    </row>
    <row r="327" spans="1:15" s="278" customFormat="1" ht="15.75" customHeight="1" x14ac:dyDescent="0.2">
      <c r="A327" s="246"/>
      <c r="B327" s="246"/>
      <c r="C327" s="246"/>
      <c r="D327" s="432"/>
      <c r="E327" s="48"/>
      <c r="F327" s="47"/>
      <c r="G327" s="49"/>
      <c r="H327" s="244"/>
      <c r="I327" s="246"/>
      <c r="J327" s="246"/>
      <c r="K327" s="244"/>
      <c r="L327" s="246"/>
      <c r="M327" s="246"/>
      <c r="N327" s="246"/>
      <c r="O327" s="246"/>
    </row>
    <row r="328" spans="1:15" s="278" customFormat="1" ht="15.75" customHeight="1" x14ac:dyDescent="0.2">
      <c r="A328" s="246"/>
      <c r="B328" s="246"/>
      <c r="C328" s="246"/>
      <c r="D328" s="432"/>
      <c r="E328" s="35"/>
      <c r="F328" s="32"/>
      <c r="G328" s="36"/>
      <c r="H328" s="244"/>
      <c r="I328" s="246"/>
      <c r="J328" s="246"/>
      <c r="K328" s="244"/>
      <c r="L328" s="246"/>
      <c r="M328" s="246"/>
      <c r="N328" s="246"/>
      <c r="O328" s="246"/>
    </row>
    <row r="329" spans="1:15" s="278" customFormat="1" ht="15.75" customHeight="1" x14ac:dyDescent="0.2">
      <c r="A329" s="246"/>
      <c r="B329" s="246"/>
      <c r="C329" s="246"/>
      <c r="D329" s="432"/>
      <c r="E329" s="48"/>
      <c r="F329" s="47"/>
      <c r="G329" s="49"/>
      <c r="H329" s="244"/>
      <c r="I329" s="246"/>
      <c r="J329" s="246"/>
      <c r="K329" s="244"/>
      <c r="L329" s="246"/>
      <c r="M329" s="246"/>
      <c r="N329" s="246"/>
      <c r="O329" s="246"/>
    </row>
    <row r="330" spans="1:15" s="278" customFormat="1" ht="15.75" customHeight="1" x14ac:dyDescent="0.2">
      <c r="A330" s="246"/>
      <c r="B330" s="246"/>
      <c r="C330" s="246"/>
      <c r="D330" s="432"/>
      <c r="E330" s="35"/>
      <c r="F330" s="32"/>
      <c r="G330" s="36"/>
      <c r="H330" s="244"/>
      <c r="I330" s="246"/>
      <c r="J330" s="246"/>
      <c r="K330" s="244"/>
      <c r="L330" s="246"/>
      <c r="M330" s="246"/>
      <c r="N330" s="246"/>
      <c r="O330" s="246"/>
    </row>
    <row r="331" spans="1:15" s="278" customFormat="1" ht="15.75" customHeight="1" x14ac:dyDescent="0.2">
      <c r="A331" s="246"/>
      <c r="B331" s="246"/>
      <c r="C331" s="246"/>
      <c r="D331" s="432"/>
      <c r="E331" s="48"/>
      <c r="F331" s="47"/>
      <c r="G331" s="49"/>
      <c r="H331" s="244"/>
      <c r="I331" s="246"/>
      <c r="J331" s="246"/>
      <c r="K331" s="244"/>
      <c r="L331" s="246"/>
      <c r="M331" s="246"/>
      <c r="N331" s="246"/>
      <c r="O331" s="246"/>
    </row>
    <row r="332" spans="1:15" s="278" customFormat="1" ht="15.75" customHeight="1" x14ac:dyDescent="0.2">
      <c r="A332" s="246"/>
      <c r="B332" s="246"/>
      <c r="C332" s="246"/>
      <c r="D332" s="432"/>
      <c r="E332" s="35"/>
      <c r="F332" s="32"/>
      <c r="G332" s="36"/>
      <c r="H332" s="244"/>
      <c r="I332" s="246"/>
      <c r="J332" s="246"/>
      <c r="K332" s="244"/>
      <c r="L332" s="246"/>
      <c r="M332" s="246"/>
      <c r="N332" s="246"/>
      <c r="O332" s="246"/>
    </row>
    <row r="333" spans="1:15" s="278" customFormat="1" ht="15.75" customHeight="1" x14ac:dyDescent="0.2">
      <c r="A333" s="246"/>
      <c r="B333" s="246"/>
      <c r="C333" s="246"/>
      <c r="D333" s="432"/>
      <c r="E333" s="48"/>
      <c r="F333" s="47"/>
      <c r="G333" s="49"/>
      <c r="H333" s="244"/>
      <c r="I333" s="246"/>
      <c r="J333" s="246"/>
      <c r="K333" s="244"/>
      <c r="L333" s="246"/>
      <c r="M333" s="246"/>
      <c r="N333" s="246"/>
      <c r="O333" s="246"/>
    </row>
    <row r="334" spans="1:15" s="278" customFormat="1" ht="15.75" customHeight="1" x14ac:dyDescent="0.2">
      <c r="A334" s="246"/>
      <c r="B334" s="246"/>
      <c r="C334" s="246"/>
      <c r="D334" s="432"/>
      <c r="E334" s="35"/>
      <c r="F334" s="32"/>
      <c r="G334" s="36"/>
      <c r="H334" s="244"/>
      <c r="I334" s="246"/>
      <c r="J334" s="246"/>
      <c r="K334" s="244"/>
      <c r="L334" s="246"/>
      <c r="M334" s="246"/>
      <c r="N334" s="246"/>
      <c r="O334" s="246"/>
    </row>
    <row r="335" spans="1:15" s="278" customFormat="1" ht="15.75" customHeight="1" x14ac:dyDescent="0.2">
      <c r="A335" s="246"/>
      <c r="B335" s="246"/>
      <c r="C335" s="246"/>
      <c r="D335" s="432"/>
      <c r="E335" s="48"/>
      <c r="F335" s="47"/>
      <c r="G335" s="49"/>
      <c r="H335" s="244"/>
      <c r="I335" s="246"/>
      <c r="J335" s="246"/>
      <c r="K335" s="244"/>
      <c r="L335" s="246"/>
      <c r="M335" s="246"/>
      <c r="N335" s="246"/>
      <c r="O335" s="246"/>
    </row>
    <row r="336" spans="1:15" s="278" customFormat="1" ht="15.75" customHeight="1" x14ac:dyDescent="0.2">
      <c r="A336" s="246"/>
      <c r="B336" s="246"/>
      <c r="C336" s="246"/>
      <c r="D336" s="432"/>
      <c r="E336" s="35"/>
      <c r="F336" s="32"/>
      <c r="G336" s="36"/>
      <c r="H336" s="244"/>
      <c r="I336" s="246"/>
      <c r="J336" s="246"/>
      <c r="K336" s="244"/>
      <c r="L336" s="246"/>
      <c r="M336" s="246"/>
      <c r="N336" s="246"/>
      <c r="O336" s="246"/>
    </row>
    <row r="337" spans="1:15" s="278" customFormat="1" ht="15.75" customHeight="1" x14ac:dyDescent="0.2">
      <c r="A337" s="246"/>
      <c r="B337" s="246"/>
      <c r="C337" s="246"/>
      <c r="D337" s="432"/>
      <c r="E337" s="48"/>
      <c r="F337" s="47"/>
      <c r="G337" s="49"/>
      <c r="H337" s="244"/>
      <c r="I337" s="246"/>
      <c r="J337" s="246"/>
      <c r="K337" s="244"/>
      <c r="L337" s="246"/>
      <c r="M337" s="246"/>
      <c r="N337" s="246"/>
      <c r="O337" s="246"/>
    </row>
    <row r="338" spans="1:15" s="278" customFormat="1" ht="15.75" customHeight="1" x14ac:dyDescent="0.2">
      <c r="A338" s="246"/>
      <c r="B338" s="246"/>
      <c r="C338" s="246"/>
      <c r="D338" s="432"/>
      <c r="E338" s="35"/>
      <c r="F338" s="32"/>
      <c r="G338" s="36"/>
      <c r="H338" s="244"/>
      <c r="I338" s="246"/>
      <c r="J338" s="246"/>
      <c r="K338" s="244"/>
      <c r="L338" s="246"/>
      <c r="M338" s="246"/>
      <c r="N338" s="246"/>
      <c r="O338" s="246"/>
    </row>
    <row r="339" spans="1:15" s="278" customFormat="1" ht="15.75" customHeight="1" x14ac:dyDescent="0.2">
      <c r="A339" s="246"/>
      <c r="B339" s="246"/>
      <c r="C339" s="246"/>
      <c r="D339" s="432"/>
      <c r="E339" s="48"/>
      <c r="F339" s="47"/>
      <c r="G339" s="49"/>
      <c r="H339" s="244"/>
      <c r="I339" s="246"/>
      <c r="J339" s="246"/>
      <c r="K339" s="244"/>
      <c r="L339" s="246"/>
      <c r="M339" s="246"/>
      <c r="N339" s="246"/>
      <c r="O339" s="246"/>
    </row>
    <row r="340" spans="1:15" s="278" customFormat="1" ht="15.75" customHeight="1" x14ac:dyDescent="0.2">
      <c r="A340" s="246"/>
      <c r="B340" s="246"/>
      <c r="C340" s="246"/>
      <c r="D340" s="432"/>
      <c r="E340" s="35"/>
      <c r="F340" s="32"/>
      <c r="G340" s="36"/>
      <c r="H340" s="244"/>
      <c r="I340" s="246"/>
      <c r="J340" s="246"/>
      <c r="K340" s="244"/>
      <c r="L340" s="246"/>
      <c r="M340" s="246"/>
      <c r="N340" s="246"/>
      <c r="O340" s="246"/>
    </row>
    <row r="341" spans="1:15" s="278" customFormat="1" ht="15.75" customHeight="1" x14ac:dyDescent="0.2">
      <c r="A341" s="246"/>
      <c r="B341" s="246"/>
      <c r="C341" s="246"/>
      <c r="D341" s="432"/>
      <c r="E341" s="48"/>
      <c r="F341" s="47"/>
      <c r="G341" s="49"/>
      <c r="H341" s="244"/>
      <c r="I341" s="246"/>
      <c r="J341" s="246"/>
      <c r="K341" s="244"/>
      <c r="L341" s="246"/>
      <c r="M341" s="246"/>
      <c r="N341" s="246"/>
      <c r="O341" s="246"/>
    </row>
    <row r="342" spans="1:15" s="278" customFormat="1" ht="15.75" customHeight="1" x14ac:dyDescent="0.2">
      <c r="A342" s="246"/>
      <c r="B342" s="246"/>
      <c r="C342" s="246"/>
      <c r="D342" s="432"/>
      <c r="E342" s="35"/>
      <c r="F342" s="32"/>
      <c r="G342" s="36"/>
      <c r="H342" s="244"/>
      <c r="I342" s="246"/>
      <c r="J342" s="246"/>
      <c r="K342" s="244"/>
      <c r="L342" s="246"/>
      <c r="M342" s="246"/>
      <c r="N342" s="246"/>
      <c r="O342" s="246"/>
    </row>
    <row r="343" spans="1:15" s="278" customFormat="1" ht="15.75" customHeight="1" x14ac:dyDescent="0.2">
      <c r="A343" s="246"/>
      <c r="B343" s="246"/>
      <c r="C343" s="246"/>
      <c r="D343" s="432"/>
      <c r="E343" s="48"/>
      <c r="F343" s="47"/>
      <c r="G343" s="49"/>
      <c r="H343" s="244"/>
      <c r="I343" s="246"/>
      <c r="J343" s="246"/>
      <c r="K343" s="244"/>
      <c r="L343" s="246"/>
      <c r="M343" s="246"/>
      <c r="N343" s="246"/>
      <c r="O343" s="246"/>
    </row>
    <row r="344" spans="1:15" s="278" customFormat="1" ht="15.75" customHeight="1" x14ac:dyDescent="0.2">
      <c r="A344" s="246"/>
      <c r="B344" s="246"/>
      <c r="C344" s="246"/>
      <c r="D344" s="432"/>
      <c r="E344" s="35"/>
      <c r="F344" s="32"/>
      <c r="G344" s="36"/>
      <c r="H344" s="244"/>
      <c r="I344" s="246"/>
      <c r="J344" s="246"/>
      <c r="K344" s="244"/>
      <c r="L344" s="246"/>
      <c r="M344" s="246"/>
      <c r="N344" s="246"/>
      <c r="O344" s="246"/>
    </row>
    <row r="345" spans="1:15" s="278" customFormat="1" ht="15.75" customHeight="1" x14ac:dyDescent="0.2">
      <c r="A345" s="246"/>
      <c r="B345" s="246"/>
      <c r="C345" s="246"/>
      <c r="D345" s="432"/>
      <c r="E345" s="48"/>
      <c r="F345" s="47"/>
      <c r="G345" s="49"/>
      <c r="H345" s="244"/>
      <c r="I345" s="246"/>
      <c r="J345" s="246"/>
      <c r="K345" s="244"/>
      <c r="L345" s="246"/>
      <c r="M345" s="246"/>
      <c r="N345" s="246"/>
      <c r="O345" s="246"/>
    </row>
    <row r="346" spans="1:15" s="278" customFormat="1" ht="15.75" customHeight="1" x14ac:dyDescent="0.2">
      <c r="A346" s="246"/>
      <c r="B346" s="246"/>
      <c r="C346" s="246"/>
      <c r="D346" s="432"/>
      <c r="E346" s="35"/>
      <c r="F346" s="32"/>
      <c r="G346" s="36"/>
      <c r="H346" s="244"/>
      <c r="I346" s="246"/>
      <c r="J346" s="246"/>
      <c r="K346" s="244"/>
      <c r="L346" s="246"/>
      <c r="M346" s="246"/>
      <c r="N346" s="246"/>
      <c r="O346" s="246"/>
    </row>
    <row r="347" spans="1:15" s="278" customFormat="1" ht="15.75" customHeight="1" x14ac:dyDescent="0.2">
      <c r="A347" s="246"/>
      <c r="B347" s="246"/>
      <c r="C347" s="246"/>
      <c r="D347" s="432"/>
      <c r="E347" s="48"/>
      <c r="F347" s="47"/>
      <c r="G347" s="49"/>
      <c r="H347" s="244"/>
      <c r="I347" s="246"/>
      <c r="J347" s="246"/>
      <c r="K347" s="244"/>
      <c r="L347" s="246"/>
      <c r="M347" s="246"/>
      <c r="N347" s="246"/>
      <c r="O347" s="246"/>
    </row>
    <row r="348" spans="1:15" s="278" customFormat="1" ht="15.75" customHeight="1" x14ac:dyDescent="0.2">
      <c r="A348" s="246"/>
      <c r="B348" s="246"/>
      <c r="C348" s="246"/>
      <c r="D348" s="432"/>
      <c r="E348" s="35"/>
      <c r="F348" s="32"/>
      <c r="G348" s="36"/>
      <c r="H348" s="244"/>
      <c r="I348" s="246"/>
      <c r="J348" s="246"/>
      <c r="K348" s="244"/>
      <c r="L348" s="246"/>
      <c r="M348" s="246"/>
      <c r="N348" s="246"/>
      <c r="O348" s="246"/>
    </row>
    <row r="349" spans="1:15" s="278" customFormat="1" ht="15.75" customHeight="1" x14ac:dyDescent="0.2">
      <c r="A349" s="246"/>
      <c r="B349" s="246"/>
      <c r="C349" s="246"/>
      <c r="D349" s="432"/>
      <c r="E349" s="48"/>
      <c r="F349" s="47"/>
      <c r="G349" s="49"/>
      <c r="H349" s="244"/>
      <c r="I349" s="246"/>
      <c r="J349" s="246"/>
      <c r="K349" s="244"/>
      <c r="L349" s="246"/>
      <c r="M349" s="246"/>
      <c r="N349" s="246"/>
      <c r="O349" s="246"/>
    </row>
    <row r="350" spans="1:15" s="278" customFormat="1" ht="15.75" customHeight="1" x14ac:dyDescent="0.2">
      <c r="A350" s="246"/>
      <c r="B350" s="246"/>
      <c r="C350" s="246"/>
      <c r="D350" s="432"/>
      <c r="E350" s="35"/>
      <c r="F350" s="32"/>
      <c r="G350" s="36"/>
      <c r="H350" s="244"/>
      <c r="I350" s="246"/>
      <c r="J350" s="246"/>
      <c r="K350" s="244"/>
      <c r="L350" s="246"/>
      <c r="M350" s="246"/>
      <c r="N350" s="246"/>
      <c r="O350" s="246"/>
    </row>
    <row r="351" spans="1:15" s="278" customFormat="1" ht="15.75" customHeight="1" x14ac:dyDescent="0.2">
      <c r="A351" s="246"/>
      <c r="B351" s="246"/>
      <c r="C351" s="246"/>
      <c r="D351" s="432"/>
      <c r="E351" s="48"/>
      <c r="F351" s="47"/>
      <c r="G351" s="49"/>
      <c r="H351" s="244"/>
      <c r="I351" s="246"/>
      <c r="J351" s="246"/>
      <c r="K351" s="244"/>
      <c r="L351" s="246"/>
      <c r="M351" s="246"/>
      <c r="N351" s="246"/>
      <c r="O351" s="246"/>
    </row>
    <row r="352" spans="1:15" s="278" customFormat="1" ht="15.75" customHeight="1" x14ac:dyDescent="0.2">
      <c r="A352" s="246"/>
      <c r="B352" s="246"/>
      <c r="C352" s="246"/>
      <c r="D352" s="432"/>
      <c r="E352" s="35"/>
      <c r="F352" s="32"/>
      <c r="G352" s="36"/>
      <c r="H352" s="244"/>
      <c r="I352" s="246"/>
      <c r="J352" s="246"/>
      <c r="K352" s="244"/>
      <c r="L352" s="246"/>
      <c r="M352" s="246"/>
      <c r="N352" s="246"/>
      <c r="O352" s="246"/>
    </row>
    <row r="353" spans="1:15" s="278" customFormat="1" ht="15.75" customHeight="1" x14ac:dyDescent="0.2">
      <c r="A353" s="246"/>
      <c r="B353" s="246"/>
      <c r="C353" s="246"/>
      <c r="D353" s="432"/>
      <c r="E353" s="48"/>
      <c r="F353" s="47"/>
      <c r="G353" s="49"/>
      <c r="H353" s="244"/>
      <c r="I353" s="246"/>
      <c r="J353" s="246"/>
      <c r="K353" s="244"/>
      <c r="L353" s="246"/>
      <c r="M353" s="246"/>
      <c r="N353" s="246"/>
      <c r="O353" s="246"/>
    </row>
    <row r="354" spans="1:15" s="278" customFormat="1" ht="15.75" customHeight="1" x14ac:dyDescent="0.2">
      <c r="A354" s="246"/>
      <c r="B354" s="246"/>
      <c r="C354" s="246"/>
      <c r="D354" s="432"/>
      <c r="E354" s="35"/>
      <c r="F354" s="32"/>
      <c r="G354" s="36"/>
      <c r="H354" s="244"/>
      <c r="I354" s="246"/>
      <c r="J354" s="246"/>
      <c r="K354" s="244"/>
      <c r="L354" s="246"/>
      <c r="M354" s="246"/>
      <c r="N354" s="246"/>
      <c r="O354" s="246"/>
    </row>
    <row r="355" spans="1:15" s="278" customFormat="1" ht="15.75" customHeight="1" x14ac:dyDescent="0.2">
      <c r="A355" s="246"/>
      <c r="B355" s="246"/>
      <c r="C355" s="246"/>
      <c r="D355" s="432"/>
      <c r="E355" s="48"/>
      <c r="F355" s="47"/>
      <c r="G355" s="49"/>
      <c r="H355" s="244"/>
      <c r="I355" s="246"/>
      <c r="J355" s="246"/>
      <c r="K355" s="244"/>
      <c r="L355" s="246"/>
      <c r="M355" s="246"/>
      <c r="N355" s="246"/>
      <c r="O355" s="246"/>
    </row>
    <row r="356" spans="1:15" s="278" customFormat="1" ht="15.75" customHeight="1" x14ac:dyDescent="0.2">
      <c r="A356" s="246"/>
      <c r="B356" s="246"/>
      <c r="C356" s="246"/>
      <c r="D356" s="432"/>
      <c r="E356" s="35"/>
      <c r="F356" s="32"/>
      <c r="G356" s="36"/>
      <c r="H356" s="244"/>
      <c r="I356" s="246"/>
      <c r="J356" s="246"/>
      <c r="K356" s="244"/>
      <c r="L356" s="246"/>
      <c r="M356" s="246"/>
      <c r="N356" s="246"/>
      <c r="O356" s="246"/>
    </row>
    <row r="357" spans="1:15" s="278" customFormat="1" ht="15.75" customHeight="1" x14ac:dyDescent="0.2">
      <c r="A357" s="246"/>
      <c r="B357" s="246"/>
      <c r="C357" s="246"/>
      <c r="D357" s="432"/>
      <c r="E357" s="48"/>
      <c r="F357" s="47"/>
      <c r="G357" s="49"/>
      <c r="H357" s="244"/>
      <c r="I357" s="246"/>
      <c r="J357" s="246"/>
      <c r="K357" s="244"/>
      <c r="L357" s="246"/>
      <c r="M357" s="246"/>
      <c r="N357" s="246"/>
      <c r="O357" s="246"/>
    </row>
    <row r="358" spans="1:15" s="278" customFormat="1" ht="15.75" customHeight="1" x14ac:dyDescent="0.2">
      <c r="A358" s="246"/>
      <c r="B358" s="246"/>
      <c r="C358" s="246"/>
      <c r="D358" s="432"/>
      <c r="E358" s="35"/>
      <c r="F358" s="32"/>
      <c r="G358" s="36"/>
      <c r="H358" s="244"/>
      <c r="I358" s="246"/>
      <c r="J358" s="246"/>
      <c r="K358" s="244"/>
      <c r="L358" s="246"/>
      <c r="M358" s="246"/>
      <c r="N358" s="246"/>
      <c r="O358" s="246"/>
    </row>
    <row r="359" spans="1:15" s="278" customFormat="1" ht="15.75" customHeight="1" x14ac:dyDescent="0.2">
      <c r="A359" s="246"/>
      <c r="B359" s="246"/>
      <c r="C359" s="246"/>
      <c r="D359" s="432"/>
      <c r="E359" s="48"/>
      <c r="F359" s="47"/>
      <c r="G359" s="49"/>
      <c r="H359" s="244"/>
      <c r="I359" s="246"/>
      <c r="J359" s="246"/>
      <c r="K359" s="244"/>
      <c r="L359" s="246"/>
      <c r="M359" s="246"/>
      <c r="N359" s="246"/>
      <c r="O359" s="246"/>
    </row>
    <row r="360" spans="1:15" s="278" customFormat="1" ht="15.75" customHeight="1" x14ac:dyDescent="0.2">
      <c r="A360" s="246"/>
      <c r="B360" s="246"/>
      <c r="C360" s="246"/>
      <c r="D360" s="432"/>
      <c r="E360" s="35"/>
      <c r="F360" s="32"/>
      <c r="G360" s="36"/>
      <c r="H360" s="244"/>
      <c r="I360" s="246"/>
      <c r="J360" s="246"/>
      <c r="K360" s="244"/>
      <c r="L360" s="246"/>
      <c r="M360" s="246"/>
      <c r="N360" s="246"/>
      <c r="O360" s="246"/>
    </row>
    <row r="361" spans="1:15" s="278" customFormat="1" ht="15.75" customHeight="1" x14ac:dyDescent="0.2">
      <c r="A361" s="246"/>
      <c r="B361" s="246"/>
      <c r="C361" s="246"/>
      <c r="D361" s="432"/>
      <c r="E361" s="48"/>
      <c r="F361" s="47"/>
      <c r="G361" s="49"/>
      <c r="H361" s="244"/>
      <c r="I361" s="246"/>
      <c r="J361" s="246"/>
      <c r="K361" s="244"/>
      <c r="L361" s="246"/>
      <c r="M361" s="246"/>
      <c r="N361" s="246"/>
      <c r="O361" s="246"/>
    </row>
    <row r="362" spans="1:15" s="278" customFormat="1" ht="15.75" customHeight="1" x14ac:dyDescent="0.2">
      <c r="A362" s="246"/>
      <c r="B362" s="246"/>
      <c r="C362" s="246"/>
      <c r="D362" s="432"/>
      <c r="E362" s="35"/>
      <c r="F362" s="32"/>
      <c r="G362" s="36"/>
      <c r="H362" s="244"/>
      <c r="I362" s="246"/>
      <c r="J362" s="246"/>
      <c r="K362" s="244"/>
      <c r="L362" s="246"/>
      <c r="M362" s="246"/>
      <c r="N362" s="246"/>
      <c r="O362" s="246"/>
    </row>
    <row r="363" spans="1:15" s="278" customFormat="1" ht="15.75" customHeight="1" x14ac:dyDescent="0.2">
      <c r="A363" s="246"/>
      <c r="B363" s="246"/>
      <c r="C363" s="246"/>
      <c r="D363" s="432"/>
      <c r="E363" s="48"/>
      <c r="F363" s="47"/>
      <c r="G363" s="49"/>
      <c r="H363" s="244"/>
      <c r="I363" s="246"/>
      <c r="J363" s="246"/>
      <c r="K363" s="244"/>
      <c r="L363" s="246"/>
      <c r="M363" s="246"/>
      <c r="N363" s="246"/>
      <c r="O363" s="246"/>
    </row>
    <row r="364" spans="1:15" s="278" customFormat="1" ht="15.75" customHeight="1" x14ac:dyDescent="0.2">
      <c r="A364" s="246"/>
      <c r="B364" s="246"/>
      <c r="C364" s="246"/>
      <c r="D364" s="432"/>
      <c r="E364" s="35"/>
      <c r="F364" s="32"/>
      <c r="G364" s="36"/>
      <c r="H364" s="244"/>
      <c r="I364" s="246"/>
      <c r="J364" s="246"/>
      <c r="K364" s="244"/>
      <c r="L364" s="246"/>
      <c r="M364" s="246"/>
      <c r="N364" s="246"/>
      <c r="O364" s="246"/>
    </row>
    <row r="365" spans="1:15" s="278" customFormat="1" ht="15.75" customHeight="1" x14ac:dyDescent="0.2">
      <c r="A365" s="246"/>
      <c r="B365" s="246"/>
      <c r="C365" s="246"/>
      <c r="D365" s="432"/>
      <c r="E365" s="48"/>
      <c r="F365" s="47"/>
      <c r="G365" s="49"/>
      <c r="H365" s="244"/>
      <c r="I365" s="246"/>
      <c r="J365" s="246"/>
      <c r="K365" s="244"/>
      <c r="L365" s="246"/>
      <c r="M365" s="246"/>
      <c r="N365" s="246"/>
      <c r="O365" s="246"/>
    </row>
    <row r="366" spans="1:15" s="278" customFormat="1" ht="15.75" customHeight="1" x14ac:dyDescent="0.2">
      <c r="A366" s="246"/>
      <c r="B366" s="246"/>
      <c r="C366" s="246"/>
      <c r="D366" s="432"/>
      <c r="E366" s="35"/>
      <c r="F366" s="32"/>
      <c r="G366" s="36"/>
      <c r="H366" s="244"/>
      <c r="I366" s="246"/>
      <c r="J366" s="246"/>
      <c r="K366" s="244"/>
      <c r="L366" s="246"/>
      <c r="M366" s="246"/>
      <c r="N366" s="246"/>
      <c r="O366" s="246"/>
    </row>
    <row r="367" spans="1:15" s="278" customFormat="1" ht="15.75" customHeight="1" x14ac:dyDescent="0.2">
      <c r="A367" s="246"/>
      <c r="B367" s="246"/>
      <c r="C367" s="246"/>
      <c r="D367" s="432"/>
      <c r="E367" s="48"/>
      <c r="F367" s="47"/>
      <c r="G367" s="49"/>
      <c r="H367" s="244"/>
      <c r="I367" s="246"/>
      <c r="J367" s="246"/>
      <c r="K367" s="244"/>
      <c r="L367" s="246"/>
      <c r="M367" s="246"/>
      <c r="N367" s="246"/>
      <c r="O367" s="246"/>
    </row>
    <row r="368" spans="1:15" s="278" customFormat="1" ht="15.75" customHeight="1" x14ac:dyDescent="0.2">
      <c r="A368" s="246"/>
      <c r="B368" s="246"/>
      <c r="C368" s="246"/>
      <c r="D368" s="432"/>
      <c r="E368" s="35"/>
      <c r="F368" s="32"/>
      <c r="G368" s="36"/>
      <c r="H368" s="244"/>
      <c r="K368" s="244"/>
      <c r="O368" s="246"/>
    </row>
    <row r="369" spans="1:15" s="278" customFormat="1" ht="15.75" customHeight="1" x14ac:dyDescent="0.2">
      <c r="A369" s="246"/>
      <c r="B369" s="246"/>
      <c r="C369" s="246"/>
      <c r="D369" s="432"/>
      <c r="E369" s="48"/>
      <c r="F369" s="47"/>
      <c r="G369" s="49"/>
      <c r="H369" s="244"/>
      <c r="K369" s="244"/>
      <c r="O369" s="246"/>
    </row>
    <row r="370" spans="1:15" s="278" customFormat="1" ht="15.75" customHeight="1" x14ac:dyDescent="0.2">
      <c r="A370" s="246"/>
      <c r="B370" s="246"/>
      <c r="C370" s="246"/>
      <c r="D370" s="432"/>
      <c r="E370" s="35"/>
      <c r="F370" s="32"/>
      <c r="G370" s="36"/>
      <c r="H370" s="244"/>
      <c r="K370" s="244"/>
      <c r="O370" s="246"/>
    </row>
    <row r="371" spans="1:15" s="278" customFormat="1" ht="15.75" customHeight="1" x14ac:dyDescent="0.2">
      <c r="A371" s="246"/>
      <c r="B371" s="246"/>
      <c r="C371" s="246"/>
      <c r="D371" s="432"/>
      <c r="E371" s="48"/>
      <c r="F371" s="47"/>
      <c r="G371" s="49"/>
      <c r="H371" s="244"/>
      <c r="K371" s="244"/>
      <c r="O371" s="246"/>
    </row>
    <row r="372" spans="1:15" s="278" customFormat="1" ht="15.75" customHeight="1" x14ac:dyDescent="0.2">
      <c r="A372" s="246"/>
      <c r="B372" s="246"/>
      <c r="C372" s="246"/>
      <c r="D372" s="432"/>
      <c r="E372" s="35"/>
      <c r="F372" s="32"/>
      <c r="G372" s="36"/>
      <c r="H372" s="244"/>
      <c r="K372" s="244"/>
      <c r="O372" s="246"/>
    </row>
    <row r="373" spans="1:15" s="278" customFormat="1" ht="15.75" customHeight="1" x14ac:dyDescent="0.2">
      <c r="A373" s="246"/>
      <c r="B373" s="246"/>
      <c r="C373" s="246"/>
      <c r="D373" s="432"/>
      <c r="E373" s="48"/>
      <c r="F373" s="47"/>
      <c r="G373" s="49"/>
      <c r="H373" s="244"/>
      <c r="K373" s="244"/>
      <c r="O373" s="246"/>
    </row>
    <row r="374" spans="1:15" s="278" customFormat="1" ht="15.75" customHeight="1" x14ac:dyDescent="0.2">
      <c r="A374" s="246"/>
      <c r="B374" s="246"/>
      <c r="C374" s="246"/>
      <c r="D374" s="432"/>
      <c r="E374" s="35"/>
      <c r="F374" s="32"/>
      <c r="G374" s="36"/>
      <c r="H374" s="244"/>
      <c r="K374" s="244"/>
      <c r="O374" s="246"/>
    </row>
    <row r="375" spans="1:15" s="278" customFormat="1" ht="15.75" customHeight="1" x14ac:dyDescent="0.2">
      <c r="A375" s="246"/>
      <c r="B375" s="246"/>
      <c r="C375" s="246"/>
      <c r="D375" s="432"/>
      <c r="E375" s="48"/>
      <c r="F375" s="47"/>
      <c r="G375" s="49"/>
      <c r="H375" s="244"/>
      <c r="K375" s="244"/>
      <c r="O375" s="246"/>
    </row>
    <row r="376" spans="1:15" s="278" customFormat="1" ht="15.75" customHeight="1" x14ac:dyDescent="0.2">
      <c r="A376" s="246"/>
      <c r="B376" s="246"/>
      <c r="C376" s="246"/>
      <c r="D376" s="432"/>
      <c r="E376" s="35"/>
      <c r="F376" s="32"/>
      <c r="G376" s="36"/>
      <c r="H376" s="244"/>
      <c r="K376" s="244"/>
      <c r="O376" s="246"/>
    </row>
    <row r="377" spans="1:15" s="278" customFormat="1" ht="15.75" customHeight="1" x14ac:dyDescent="0.2">
      <c r="A377" s="246"/>
      <c r="B377" s="246"/>
      <c r="C377" s="246"/>
      <c r="D377" s="432"/>
      <c r="E377" s="48"/>
      <c r="F377" s="47"/>
      <c r="G377" s="49"/>
      <c r="H377" s="244"/>
      <c r="K377" s="244"/>
      <c r="O377" s="246"/>
    </row>
    <row r="378" spans="1:15" s="278" customFormat="1" ht="15.75" customHeight="1" x14ac:dyDescent="0.2">
      <c r="A378" s="246"/>
      <c r="B378" s="246"/>
      <c r="C378" s="246"/>
      <c r="D378" s="432"/>
      <c r="E378" s="35"/>
      <c r="F378" s="32"/>
      <c r="G378" s="36"/>
      <c r="H378" s="244"/>
      <c r="K378" s="244"/>
      <c r="O378" s="246"/>
    </row>
    <row r="379" spans="1:15" s="278" customFormat="1" ht="15.75" customHeight="1" x14ac:dyDescent="0.2">
      <c r="A379" s="246"/>
      <c r="B379" s="246"/>
      <c r="C379" s="246"/>
      <c r="D379" s="432"/>
      <c r="E379" s="48"/>
      <c r="F379" s="47"/>
      <c r="G379" s="49"/>
      <c r="H379" s="244"/>
      <c r="K379" s="244"/>
      <c r="O379" s="246"/>
    </row>
    <row r="380" spans="1:15" s="278" customFormat="1" ht="15.75" customHeight="1" x14ac:dyDescent="0.2">
      <c r="A380" s="246"/>
      <c r="B380" s="246"/>
      <c r="C380" s="246"/>
      <c r="D380" s="432"/>
      <c r="E380" s="35"/>
      <c r="F380" s="32"/>
      <c r="G380" s="36"/>
      <c r="H380" s="244"/>
      <c r="K380" s="244"/>
      <c r="O380" s="246"/>
    </row>
    <row r="381" spans="1:15" s="278" customFormat="1" ht="15.75" customHeight="1" x14ac:dyDescent="0.2">
      <c r="A381" s="246"/>
      <c r="B381" s="246"/>
      <c r="C381" s="246"/>
      <c r="D381" s="432"/>
      <c r="E381" s="48"/>
      <c r="F381" s="47"/>
      <c r="G381" s="49"/>
      <c r="H381" s="244"/>
      <c r="K381" s="244"/>
      <c r="O381" s="246"/>
    </row>
    <row r="382" spans="1:15" s="278" customFormat="1" ht="15.75" customHeight="1" x14ac:dyDescent="0.2">
      <c r="A382" s="246"/>
      <c r="B382" s="246"/>
      <c r="C382" s="246"/>
      <c r="D382" s="432"/>
      <c r="E382" s="35"/>
      <c r="F382" s="32"/>
      <c r="G382" s="36"/>
      <c r="H382" s="244"/>
      <c r="K382" s="244"/>
      <c r="O382" s="246"/>
    </row>
    <row r="383" spans="1:15" s="278" customFormat="1" ht="15.75" customHeight="1" x14ac:dyDescent="0.2">
      <c r="A383" s="246"/>
      <c r="B383" s="246"/>
      <c r="C383" s="246"/>
      <c r="D383" s="432"/>
      <c r="E383" s="48"/>
      <c r="F383" s="47"/>
      <c r="G383" s="49"/>
      <c r="H383" s="244"/>
      <c r="K383" s="244"/>
      <c r="O383" s="246"/>
    </row>
    <row r="384" spans="1:15" s="278" customFormat="1" ht="15.75" customHeight="1" x14ac:dyDescent="0.2">
      <c r="A384" s="246"/>
      <c r="B384" s="246"/>
      <c r="C384" s="246"/>
      <c r="D384" s="432"/>
      <c r="E384" s="35"/>
      <c r="F384" s="32"/>
      <c r="G384" s="36"/>
      <c r="H384" s="244"/>
      <c r="K384" s="244"/>
      <c r="O384" s="246"/>
    </row>
    <row r="385" spans="1:15" s="278" customFormat="1" ht="15.75" customHeight="1" x14ac:dyDescent="0.2">
      <c r="A385" s="246"/>
      <c r="B385" s="246"/>
      <c r="C385" s="246"/>
      <c r="D385" s="432"/>
      <c r="E385" s="48"/>
      <c r="F385" s="47"/>
      <c r="G385" s="49"/>
      <c r="H385" s="244"/>
      <c r="K385" s="244"/>
      <c r="O385" s="246"/>
    </row>
    <row r="386" spans="1:15" s="278" customFormat="1" ht="15.75" customHeight="1" x14ac:dyDescent="0.2">
      <c r="A386" s="246"/>
      <c r="B386" s="246"/>
      <c r="C386" s="246"/>
      <c r="D386" s="432"/>
      <c r="E386" s="35"/>
      <c r="F386" s="32"/>
      <c r="G386" s="36"/>
      <c r="H386" s="244"/>
      <c r="K386" s="244"/>
      <c r="O386" s="246"/>
    </row>
    <row r="387" spans="1:15" s="278" customFormat="1" ht="15.75" customHeight="1" x14ac:dyDescent="0.2">
      <c r="A387" s="246"/>
      <c r="B387" s="246"/>
      <c r="C387" s="246"/>
      <c r="D387" s="432"/>
      <c r="E387" s="48"/>
      <c r="F387" s="47"/>
      <c r="G387" s="49"/>
      <c r="H387" s="244"/>
      <c r="K387" s="244"/>
      <c r="O387" s="246"/>
    </row>
    <row r="388" spans="1:15" s="278" customFormat="1" ht="15.75" customHeight="1" x14ac:dyDescent="0.2">
      <c r="A388" s="246"/>
      <c r="B388" s="246"/>
      <c r="C388" s="246"/>
      <c r="D388" s="432"/>
      <c r="E388" s="35"/>
      <c r="F388" s="32"/>
      <c r="G388" s="36"/>
      <c r="H388" s="244"/>
      <c r="K388" s="244"/>
      <c r="O388" s="246"/>
    </row>
    <row r="389" spans="1:15" s="278" customFormat="1" ht="15.75" customHeight="1" x14ac:dyDescent="0.2">
      <c r="A389" s="246"/>
      <c r="B389" s="246"/>
      <c r="C389" s="246"/>
      <c r="D389" s="432"/>
      <c r="E389" s="48"/>
      <c r="F389" s="47"/>
      <c r="G389" s="49"/>
      <c r="H389" s="244"/>
      <c r="K389" s="244"/>
      <c r="O389" s="246"/>
    </row>
    <row r="390" spans="1:15" s="278" customFormat="1" ht="15.75" customHeight="1" x14ac:dyDescent="0.2">
      <c r="A390" s="246"/>
      <c r="B390" s="246"/>
      <c r="C390" s="246"/>
      <c r="D390" s="432"/>
      <c r="E390" s="35"/>
      <c r="F390" s="32"/>
      <c r="G390" s="36"/>
      <c r="H390" s="244"/>
      <c r="K390" s="244"/>
      <c r="O390" s="246"/>
    </row>
    <row r="391" spans="1:15" s="278" customFormat="1" ht="15.75" customHeight="1" x14ac:dyDescent="0.2">
      <c r="A391" s="246"/>
      <c r="B391" s="246"/>
      <c r="C391" s="246"/>
      <c r="D391" s="432"/>
      <c r="E391" s="48"/>
      <c r="F391" s="47"/>
      <c r="G391" s="49"/>
      <c r="H391" s="244"/>
      <c r="K391" s="244"/>
      <c r="O391" s="246"/>
    </row>
    <row r="392" spans="1:15" s="278" customFormat="1" ht="15.75" customHeight="1" x14ac:dyDescent="0.2">
      <c r="A392" s="246"/>
      <c r="B392" s="246"/>
      <c r="C392" s="246"/>
      <c r="D392" s="432"/>
      <c r="E392" s="35"/>
      <c r="F392" s="32"/>
      <c r="G392" s="36"/>
      <c r="H392" s="244"/>
      <c r="K392" s="244"/>
      <c r="O392" s="246"/>
    </row>
    <row r="393" spans="1:15" s="278" customFormat="1" ht="15.75" customHeight="1" x14ac:dyDescent="0.2">
      <c r="A393" s="246"/>
      <c r="B393" s="246"/>
      <c r="C393" s="246"/>
      <c r="D393" s="432"/>
      <c r="E393" s="48"/>
      <c r="F393" s="47"/>
      <c r="G393" s="49"/>
      <c r="H393" s="244"/>
      <c r="K393" s="244"/>
      <c r="O393" s="246"/>
    </row>
    <row r="394" spans="1:15" s="278" customFormat="1" ht="15.75" customHeight="1" x14ac:dyDescent="0.2">
      <c r="A394" s="246"/>
      <c r="B394" s="246"/>
      <c r="C394" s="246"/>
      <c r="D394" s="432"/>
      <c r="E394" s="35"/>
      <c r="F394" s="32"/>
      <c r="G394" s="36"/>
      <c r="H394" s="244"/>
      <c r="K394" s="244"/>
      <c r="O394" s="246"/>
    </row>
    <row r="395" spans="1:15" s="278" customFormat="1" ht="15.75" customHeight="1" x14ac:dyDescent="0.2">
      <c r="A395" s="246"/>
      <c r="B395" s="246"/>
      <c r="C395" s="246"/>
      <c r="D395" s="432"/>
      <c r="E395" s="48"/>
      <c r="F395" s="47"/>
      <c r="G395" s="49"/>
      <c r="H395" s="244"/>
      <c r="K395" s="244"/>
      <c r="O395" s="246"/>
    </row>
    <row r="396" spans="1:15" s="278" customFormat="1" ht="15.75" customHeight="1" x14ac:dyDescent="0.2">
      <c r="A396" s="246"/>
      <c r="B396" s="246"/>
      <c r="C396" s="246"/>
      <c r="D396" s="432"/>
      <c r="E396" s="35"/>
      <c r="F396" s="32"/>
      <c r="G396" s="36"/>
      <c r="H396" s="244"/>
      <c r="K396" s="244"/>
      <c r="O396" s="246"/>
    </row>
    <row r="397" spans="1:15" s="278" customFormat="1" ht="15.75" customHeight="1" x14ac:dyDescent="0.2">
      <c r="A397" s="246"/>
      <c r="B397" s="246"/>
      <c r="C397" s="246"/>
      <c r="D397" s="432"/>
      <c r="E397" s="48"/>
      <c r="F397" s="47"/>
      <c r="G397" s="49"/>
      <c r="H397" s="244"/>
      <c r="K397" s="244"/>
      <c r="O397" s="246"/>
    </row>
    <row r="398" spans="1:15" s="278" customFormat="1" ht="15.75" customHeight="1" x14ac:dyDescent="0.2">
      <c r="A398" s="246"/>
      <c r="B398" s="246"/>
      <c r="C398" s="246"/>
      <c r="D398" s="432"/>
      <c r="E398" s="35"/>
      <c r="F398" s="32"/>
      <c r="G398" s="36"/>
      <c r="H398" s="244"/>
      <c r="K398" s="244"/>
      <c r="O398" s="246"/>
    </row>
    <row r="399" spans="1:15" s="278" customFormat="1" ht="15.75" customHeight="1" x14ac:dyDescent="0.2">
      <c r="A399" s="246"/>
      <c r="B399" s="246"/>
      <c r="C399" s="246"/>
      <c r="D399" s="432"/>
      <c r="E399" s="48"/>
      <c r="F399" s="47"/>
      <c r="G399" s="49"/>
      <c r="H399" s="244"/>
      <c r="K399" s="244"/>
      <c r="O399" s="246"/>
    </row>
    <row r="400" spans="1:15" s="278" customFormat="1" ht="15.75" customHeight="1" x14ac:dyDescent="0.2">
      <c r="A400" s="246"/>
      <c r="B400" s="246"/>
      <c r="C400" s="246"/>
      <c r="D400" s="432"/>
      <c r="E400" s="35"/>
      <c r="F400" s="32"/>
      <c r="G400" s="36"/>
      <c r="H400" s="244"/>
      <c r="K400" s="244"/>
      <c r="O400" s="246"/>
    </row>
    <row r="401" spans="1:15" s="278" customFormat="1" ht="15.75" customHeight="1" x14ac:dyDescent="0.2">
      <c r="A401" s="246"/>
      <c r="B401" s="246"/>
      <c r="C401" s="246"/>
      <c r="D401" s="432"/>
      <c r="E401" s="48"/>
      <c r="F401" s="47"/>
      <c r="G401" s="49"/>
      <c r="H401" s="244"/>
      <c r="K401" s="244"/>
      <c r="O401" s="246"/>
    </row>
    <row r="402" spans="1:15" s="278" customFormat="1" ht="15.75" customHeight="1" x14ac:dyDescent="0.2">
      <c r="A402" s="246"/>
      <c r="B402" s="246"/>
      <c r="C402" s="246"/>
      <c r="D402" s="432"/>
      <c r="E402" s="35"/>
      <c r="F402" s="32"/>
      <c r="G402" s="36"/>
      <c r="H402" s="244"/>
      <c r="K402" s="244"/>
      <c r="O402" s="246"/>
    </row>
    <row r="403" spans="1:15" s="278" customFormat="1" ht="15.75" customHeight="1" x14ac:dyDescent="0.2">
      <c r="A403" s="246"/>
      <c r="B403" s="246"/>
      <c r="C403" s="246"/>
      <c r="D403" s="432"/>
      <c r="E403" s="48"/>
      <c r="F403" s="47"/>
      <c r="G403" s="49"/>
      <c r="H403" s="244"/>
      <c r="K403" s="244"/>
      <c r="O403" s="246"/>
    </row>
    <row r="404" spans="1:15" s="278" customFormat="1" ht="15.75" customHeight="1" x14ac:dyDescent="0.2">
      <c r="A404" s="246"/>
      <c r="B404" s="246"/>
      <c r="C404" s="246"/>
      <c r="D404" s="432"/>
      <c r="E404" s="35"/>
      <c r="F404" s="32"/>
      <c r="G404" s="36"/>
      <c r="H404" s="244"/>
      <c r="K404" s="244"/>
      <c r="O404" s="246"/>
    </row>
    <row r="405" spans="1:15" s="278" customFormat="1" ht="15.75" customHeight="1" x14ac:dyDescent="0.2">
      <c r="A405" s="246"/>
      <c r="B405" s="246"/>
      <c r="C405" s="246"/>
      <c r="D405" s="432"/>
      <c r="E405" s="48"/>
      <c r="F405" s="47"/>
      <c r="G405" s="49"/>
      <c r="H405" s="244"/>
      <c r="K405" s="244"/>
      <c r="O405" s="246"/>
    </row>
    <row r="406" spans="1:15" s="278" customFormat="1" ht="15.75" customHeight="1" x14ac:dyDescent="0.2">
      <c r="A406" s="246"/>
      <c r="B406" s="246"/>
      <c r="C406" s="246"/>
      <c r="D406" s="432"/>
      <c r="E406" s="35"/>
      <c r="F406" s="32"/>
      <c r="G406" s="36"/>
      <c r="H406" s="244"/>
      <c r="K406" s="244"/>
      <c r="O406" s="246"/>
    </row>
    <row r="407" spans="1:15" s="278" customFormat="1" ht="15.75" customHeight="1" x14ac:dyDescent="0.2">
      <c r="A407" s="246"/>
      <c r="B407" s="246"/>
      <c r="C407" s="246"/>
      <c r="D407" s="432"/>
      <c r="E407" s="48"/>
      <c r="F407" s="47"/>
      <c r="G407" s="49"/>
      <c r="H407" s="244"/>
      <c r="K407" s="244"/>
      <c r="O407" s="246"/>
    </row>
    <row r="408" spans="1:15" s="278" customFormat="1" ht="15.75" customHeight="1" x14ac:dyDescent="0.2">
      <c r="A408" s="246"/>
      <c r="B408" s="246"/>
      <c r="C408" s="246"/>
      <c r="D408" s="432"/>
      <c r="E408" s="35"/>
      <c r="F408" s="32"/>
      <c r="G408" s="36"/>
      <c r="H408" s="244"/>
      <c r="K408" s="244"/>
      <c r="O408" s="246"/>
    </row>
    <row r="409" spans="1:15" s="278" customFormat="1" ht="15.75" customHeight="1" x14ac:dyDescent="0.2">
      <c r="A409" s="246"/>
      <c r="B409" s="246"/>
      <c r="C409" s="246"/>
      <c r="D409" s="432"/>
      <c r="E409" s="48"/>
      <c r="F409" s="47"/>
      <c r="G409" s="49"/>
      <c r="H409" s="244"/>
      <c r="K409" s="244"/>
      <c r="O409" s="246"/>
    </row>
    <row r="410" spans="1:15" s="278" customFormat="1" ht="15.75" customHeight="1" x14ac:dyDescent="0.2">
      <c r="A410" s="246"/>
      <c r="B410" s="246"/>
      <c r="C410" s="246"/>
      <c r="D410" s="432"/>
      <c r="E410" s="35"/>
      <c r="F410" s="32"/>
      <c r="G410" s="36"/>
      <c r="H410" s="244"/>
      <c r="K410" s="244"/>
      <c r="O410" s="246"/>
    </row>
    <row r="411" spans="1:15" s="278" customFormat="1" ht="15.75" customHeight="1" x14ac:dyDescent="0.2">
      <c r="A411" s="246"/>
      <c r="B411" s="246"/>
      <c r="C411" s="246"/>
      <c r="D411" s="432"/>
      <c r="E411" s="48"/>
      <c r="F411" s="47"/>
      <c r="G411" s="49"/>
      <c r="H411" s="244"/>
      <c r="K411" s="244"/>
      <c r="O411" s="246"/>
    </row>
    <row r="412" spans="1:15" s="278" customFormat="1" ht="15.75" customHeight="1" x14ac:dyDescent="0.2">
      <c r="A412" s="246"/>
      <c r="B412" s="246"/>
      <c r="C412" s="246"/>
      <c r="D412" s="432"/>
      <c r="E412" s="35"/>
      <c r="F412" s="32"/>
      <c r="G412" s="36"/>
      <c r="H412" s="244"/>
      <c r="K412" s="244"/>
      <c r="O412" s="246"/>
    </row>
    <row r="413" spans="1:15" s="278" customFormat="1" ht="15.75" customHeight="1" x14ac:dyDescent="0.2">
      <c r="A413" s="246"/>
      <c r="B413" s="246"/>
      <c r="C413" s="246"/>
      <c r="D413" s="432"/>
      <c r="E413" s="48"/>
      <c r="F413" s="47"/>
      <c r="G413" s="49"/>
      <c r="H413" s="244"/>
      <c r="K413" s="244"/>
      <c r="O413" s="246"/>
    </row>
    <row r="414" spans="1:15" s="278" customFormat="1" ht="15.75" customHeight="1" x14ac:dyDescent="0.2">
      <c r="A414" s="246"/>
      <c r="B414" s="246"/>
      <c r="C414" s="246"/>
      <c r="D414" s="432"/>
      <c r="E414" s="35"/>
      <c r="F414" s="32"/>
      <c r="G414" s="36"/>
      <c r="H414" s="244"/>
      <c r="K414" s="244"/>
      <c r="O414" s="246"/>
    </row>
    <row r="415" spans="1:15" s="278" customFormat="1" ht="15.75" customHeight="1" x14ac:dyDescent="0.2">
      <c r="A415" s="246"/>
      <c r="B415" s="246"/>
      <c r="C415" s="246"/>
      <c r="D415" s="432"/>
      <c r="E415" s="48"/>
      <c r="F415" s="47"/>
      <c r="G415" s="49"/>
      <c r="H415" s="244"/>
      <c r="K415" s="244"/>
      <c r="O415" s="246"/>
    </row>
    <row r="416" spans="1:15" s="278" customFormat="1" ht="15.75" customHeight="1" x14ac:dyDescent="0.2">
      <c r="A416" s="246"/>
      <c r="B416" s="246"/>
      <c r="C416" s="246"/>
      <c r="D416" s="432"/>
      <c r="E416" s="35"/>
      <c r="F416" s="32"/>
      <c r="G416" s="36"/>
      <c r="H416" s="244"/>
      <c r="K416" s="244"/>
      <c r="O416" s="246"/>
    </row>
    <row r="417" spans="1:15" s="278" customFormat="1" ht="15.75" customHeight="1" x14ac:dyDescent="0.2">
      <c r="A417" s="246"/>
      <c r="B417" s="246"/>
      <c r="C417" s="246"/>
      <c r="D417" s="432"/>
      <c r="E417" s="48"/>
      <c r="F417" s="47"/>
      <c r="G417" s="49"/>
      <c r="H417" s="244"/>
      <c r="K417" s="244"/>
      <c r="O417" s="246"/>
    </row>
    <row r="418" spans="1:15" s="278" customFormat="1" ht="15.75" customHeight="1" x14ac:dyDescent="0.2">
      <c r="A418" s="246"/>
      <c r="B418" s="246"/>
      <c r="C418" s="246"/>
      <c r="D418" s="432"/>
      <c r="E418" s="35"/>
      <c r="F418" s="32"/>
      <c r="G418" s="36"/>
      <c r="H418" s="244"/>
      <c r="K418" s="244"/>
      <c r="O418" s="246"/>
    </row>
    <row r="419" spans="1:15" s="278" customFormat="1" ht="15.75" customHeight="1" x14ac:dyDescent="0.2">
      <c r="A419" s="246"/>
      <c r="B419" s="246"/>
      <c r="C419" s="246"/>
      <c r="D419" s="432"/>
      <c r="E419" s="48"/>
      <c r="F419" s="47"/>
      <c r="G419" s="49"/>
      <c r="H419" s="244"/>
      <c r="K419" s="244"/>
      <c r="O419" s="246"/>
    </row>
    <row r="420" spans="1:15" s="278" customFormat="1" ht="15.75" customHeight="1" x14ac:dyDescent="0.2">
      <c r="A420" s="246"/>
      <c r="B420" s="246"/>
      <c r="C420" s="246"/>
      <c r="D420" s="432"/>
      <c r="E420" s="35"/>
      <c r="F420" s="32"/>
      <c r="G420" s="36"/>
      <c r="H420" s="244"/>
      <c r="K420" s="244"/>
      <c r="O420" s="246"/>
    </row>
    <row r="421" spans="1:15" s="278" customFormat="1" ht="15.75" customHeight="1" x14ac:dyDescent="0.2">
      <c r="A421" s="246"/>
      <c r="B421" s="246"/>
      <c r="C421" s="246"/>
      <c r="D421" s="432"/>
      <c r="E421" s="48"/>
      <c r="F421" s="47"/>
      <c r="G421" s="49"/>
      <c r="H421" s="244"/>
      <c r="K421" s="244"/>
      <c r="O421" s="246"/>
    </row>
    <row r="422" spans="1:15" s="278" customFormat="1" ht="15.75" customHeight="1" x14ac:dyDescent="0.2">
      <c r="A422" s="246"/>
      <c r="B422" s="246"/>
      <c r="C422" s="246"/>
      <c r="D422" s="432"/>
      <c r="E422" s="35"/>
      <c r="F422" s="32"/>
      <c r="G422" s="36"/>
      <c r="H422" s="244"/>
      <c r="K422" s="244"/>
      <c r="O422" s="246"/>
    </row>
    <row r="423" spans="1:15" s="278" customFormat="1" ht="15.75" customHeight="1" x14ac:dyDescent="0.2">
      <c r="A423" s="246"/>
      <c r="B423" s="246"/>
      <c r="C423" s="246"/>
      <c r="D423" s="432"/>
      <c r="E423" s="48"/>
      <c r="F423" s="47"/>
      <c r="G423" s="49"/>
      <c r="H423" s="244"/>
      <c r="K423" s="244"/>
      <c r="O423" s="246"/>
    </row>
    <row r="424" spans="1:15" s="278" customFormat="1" ht="15.75" customHeight="1" x14ac:dyDescent="0.2">
      <c r="A424" s="246"/>
      <c r="B424" s="246"/>
      <c r="C424" s="246"/>
      <c r="D424" s="432"/>
      <c r="E424" s="35"/>
      <c r="F424" s="32"/>
      <c r="G424" s="36"/>
      <c r="H424" s="244"/>
      <c r="K424" s="244"/>
      <c r="O424" s="246"/>
    </row>
    <row r="425" spans="1:15" s="278" customFormat="1" ht="15.75" customHeight="1" x14ac:dyDescent="0.2">
      <c r="A425" s="246"/>
      <c r="B425" s="246"/>
      <c r="C425" s="246"/>
      <c r="D425" s="432"/>
      <c r="E425" s="48"/>
      <c r="F425" s="47"/>
      <c r="G425" s="49"/>
      <c r="H425" s="244"/>
      <c r="K425" s="244"/>
      <c r="O425" s="246"/>
    </row>
    <row r="426" spans="1:15" s="278" customFormat="1" ht="15.75" customHeight="1" x14ac:dyDescent="0.2">
      <c r="A426" s="246"/>
      <c r="B426" s="246"/>
      <c r="C426" s="246"/>
      <c r="D426" s="432"/>
      <c r="E426" s="35"/>
      <c r="F426" s="32"/>
      <c r="G426" s="36"/>
      <c r="H426" s="244"/>
      <c r="K426" s="244"/>
      <c r="O426" s="246"/>
    </row>
    <row r="427" spans="1:15" s="278" customFormat="1" ht="15.75" customHeight="1" x14ac:dyDescent="0.2">
      <c r="A427" s="246"/>
      <c r="B427" s="246"/>
      <c r="C427" s="246"/>
      <c r="D427" s="432"/>
      <c r="E427" s="48"/>
      <c r="F427" s="47"/>
      <c r="G427" s="49"/>
      <c r="H427" s="244"/>
      <c r="K427" s="244"/>
      <c r="O427" s="246"/>
    </row>
    <row r="428" spans="1:15" s="278" customFormat="1" ht="15.75" customHeight="1" x14ac:dyDescent="0.2">
      <c r="A428" s="246"/>
      <c r="B428" s="246"/>
      <c r="C428" s="246"/>
      <c r="D428" s="432"/>
      <c r="E428" s="35"/>
      <c r="F428" s="32"/>
      <c r="G428" s="36"/>
      <c r="H428" s="244"/>
      <c r="K428" s="244"/>
      <c r="O428" s="246"/>
    </row>
    <row r="429" spans="1:15" s="278" customFormat="1" ht="15.75" customHeight="1" x14ac:dyDescent="0.2">
      <c r="A429" s="246"/>
      <c r="B429" s="246"/>
      <c r="C429" s="246"/>
      <c r="D429" s="432"/>
      <c r="H429" s="244"/>
      <c r="K429" s="244"/>
      <c r="O429" s="246"/>
    </row>
    <row r="430" spans="1:15" s="278" customFormat="1" ht="15.75" customHeight="1" x14ac:dyDescent="0.2">
      <c r="A430" s="246"/>
      <c r="B430" s="246"/>
      <c r="C430" s="246"/>
      <c r="D430" s="432"/>
      <c r="H430" s="244"/>
      <c r="K430" s="244"/>
      <c r="O430" s="246"/>
    </row>
    <row r="431" spans="1:15" s="278" customFormat="1" ht="15.75" customHeight="1" x14ac:dyDescent="0.2">
      <c r="A431" s="246"/>
      <c r="B431" s="246"/>
      <c r="C431" s="246"/>
      <c r="D431" s="432"/>
      <c r="H431" s="244"/>
      <c r="K431" s="244"/>
      <c r="O431" s="246"/>
    </row>
    <row r="432" spans="1:15" s="278" customFormat="1" ht="15.75" customHeight="1" x14ac:dyDescent="0.2">
      <c r="A432" s="246"/>
      <c r="B432" s="246"/>
      <c r="C432" s="246"/>
      <c r="D432" s="432"/>
      <c r="H432" s="244"/>
      <c r="K432" s="244"/>
      <c r="O432" s="246"/>
    </row>
    <row r="433" spans="1:15" s="278" customFormat="1" ht="15.75" customHeight="1" x14ac:dyDescent="0.2">
      <c r="A433" s="246"/>
      <c r="B433" s="246"/>
      <c r="C433" s="246"/>
      <c r="D433" s="432"/>
      <c r="H433" s="244"/>
      <c r="K433" s="244"/>
      <c r="O433" s="246"/>
    </row>
    <row r="434" spans="1:15" s="278" customFormat="1" ht="15.75" customHeight="1" x14ac:dyDescent="0.2">
      <c r="A434" s="246"/>
      <c r="B434" s="246"/>
      <c r="C434" s="246"/>
      <c r="D434" s="432"/>
      <c r="H434" s="244"/>
      <c r="K434" s="244"/>
      <c r="O434" s="246"/>
    </row>
    <row r="435" spans="1:15" s="278" customFormat="1" ht="15.75" customHeight="1" x14ac:dyDescent="0.2">
      <c r="A435" s="246"/>
      <c r="B435" s="246"/>
      <c r="C435" s="246"/>
      <c r="D435" s="432"/>
      <c r="H435" s="244"/>
      <c r="K435" s="244"/>
      <c r="O435" s="246"/>
    </row>
    <row r="436" spans="1:15" s="278" customFormat="1" ht="15.75" customHeight="1" x14ac:dyDescent="0.2">
      <c r="A436" s="246"/>
      <c r="B436" s="246"/>
      <c r="C436" s="246"/>
      <c r="D436" s="432"/>
      <c r="H436" s="244"/>
      <c r="K436" s="244"/>
      <c r="O436" s="246"/>
    </row>
    <row r="437" spans="1:15" s="278" customFormat="1" ht="15.75" customHeight="1" x14ac:dyDescent="0.2">
      <c r="A437" s="246"/>
      <c r="B437" s="246"/>
      <c r="C437" s="246"/>
      <c r="D437" s="432"/>
      <c r="H437" s="244"/>
      <c r="K437" s="244"/>
      <c r="O437" s="246"/>
    </row>
    <row r="438" spans="1:15" s="278" customFormat="1" ht="15.75" customHeight="1" x14ac:dyDescent="0.2">
      <c r="A438" s="246"/>
      <c r="B438" s="246"/>
      <c r="C438" s="246"/>
      <c r="D438" s="432"/>
      <c r="H438" s="244"/>
      <c r="K438" s="244"/>
      <c r="O438" s="246"/>
    </row>
    <row r="439" spans="1:15" s="278" customFormat="1" ht="15.75" customHeight="1" x14ac:dyDescent="0.2">
      <c r="A439" s="246"/>
      <c r="B439" s="246"/>
      <c r="C439" s="246"/>
      <c r="D439" s="432"/>
      <c r="H439" s="244"/>
      <c r="K439" s="244"/>
      <c r="O439" s="246"/>
    </row>
    <row r="440" spans="1:15" s="278" customFormat="1" ht="15.75" customHeight="1" x14ac:dyDescent="0.2">
      <c r="A440" s="246"/>
      <c r="B440" s="246"/>
      <c r="C440" s="246"/>
      <c r="D440" s="432"/>
      <c r="H440" s="244"/>
      <c r="K440" s="244"/>
      <c r="O440" s="246"/>
    </row>
    <row r="441" spans="1:15" s="278" customFormat="1" ht="15.75" customHeight="1" x14ac:dyDescent="0.2">
      <c r="A441" s="246"/>
      <c r="B441" s="246"/>
      <c r="C441" s="246"/>
      <c r="D441" s="432"/>
      <c r="H441" s="244"/>
      <c r="K441" s="244"/>
      <c r="O441" s="246"/>
    </row>
    <row r="442" spans="1:15" s="278" customFormat="1" ht="15.75" customHeight="1" x14ac:dyDescent="0.2">
      <c r="A442" s="246"/>
      <c r="B442" s="246"/>
      <c r="C442" s="246"/>
      <c r="D442" s="432"/>
      <c r="H442" s="244"/>
      <c r="K442" s="244"/>
      <c r="O442" s="246"/>
    </row>
    <row r="443" spans="1:15" s="278" customFormat="1" ht="15.75" customHeight="1" x14ac:dyDescent="0.2">
      <c r="A443" s="246"/>
      <c r="B443" s="246"/>
      <c r="C443" s="246"/>
      <c r="D443" s="432"/>
      <c r="H443" s="244"/>
      <c r="K443" s="244"/>
      <c r="O443" s="246"/>
    </row>
    <row r="444" spans="1:15" s="278" customFormat="1" ht="15.75" customHeight="1" x14ac:dyDescent="0.2">
      <c r="A444" s="246"/>
      <c r="B444" s="246"/>
      <c r="C444" s="246"/>
      <c r="D444" s="432"/>
      <c r="H444" s="244"/>
      <c r="K444" s="244"/>
      <c r="O444" s="246"/>
    </row>
    <row r="445" spans="1:15" s="278" customFormat="1" ht="15.75" customHeight="1" x14ac:dyDescent="0.2">
      <c r="A445" s="246"/>
      <c r="B445" s="246"/>
      <c r="C445" s="246"/>
      <c r="D445" s="432"/>
      <c r="H445" s="244"/>
      <c r="K445" s="244"/>
      <c r="O445" s="246"/>
    </row>
    <row r="446" spans="1:15" s="278" customFormat="1" ht="15.75" customHeight="1" x14ac:dyDescent="0.2">
      <c r="A446" s="246"/>
      <c r="B446" s="246"/>
      <c r="C446" s="246"/>
      <c r="D446" s="432"/>
      <c r="H446" s="244"/>
      <c r="K446" s="244"/>
      <c r="O446" s="246"/>
    </row>
    <row r="447" spans="1:15" s="278" customFormat="1" ht="15.75" customHeight="1" x14ac:dyDescent="0.2">
      <c r="A447" s="246"/>
      <c r="B447" s="246"/>
      <c r="C447" s="246"/>
      <c r="D447" s="432"/>
      <c r="H447" s="244"/>
      <c r="K447" s="244"/>
      <c r="O447" s="246"/>
    </row>
    <row r="448" spans="1:15" s="278" customFormat="1" ht="15.75" customHeight="1" x14ac:dyDescent="0.2">
      <c r="A448" s="246"/>
      <c r="B448" s="246"/>
      <c r="C448" s="246"/>
      <c r="D448" s="432"/>
      <c r="H448" s="244"/>
      <c r="K448" s="244"/>
      <c r="O448" s="246"/>
    </row>
    <row r="449" spans="1:15" s="278" customFormat="1" ht="15.75" customHeight="1" x14ac:dyDescent="0.2">
      <c r="A449" s="246"/>
      <c r="B449" s="246"/>
      <c r="C449" s="246"/>
      <c r="D449" s="432"/>
      <c r="H449" s="244"/>
      <c r="K449" s="244"/>
      <c r="O449" s="246"/>
    </row>
    <row r="450" spans="1:15" s="278" customFormat="1" ht="15.75" customHeight="1" x14ac:dyDescent="0.2">
      <c r="A450" s="246"/>
      <c r="B450" s="246"/>
      <c r="C450" s="246"/>
      <c r="D450" s="432"/>
      <c r="H450" s="244"/>
      <c r="K450" s="244"/>
      <c r="O450" s="246"/>
    </row>
    <row r="451" spans="1:15" s="278" customFormat="1" ht="15.75" customHeight="1" x14ac:dyDescent="0.2">
      <c r="A451" s="246"/>
      <c r="B451" s="246"/>
      <c r="C451" s="246"/>
      <c r="D451" s="432"/>
      <c r="H451" s="244"/>
      <c r="K451" s="244"/>
      <c r="O451" s="246"/>
    </row>
    <row r="452" spans="1:15" s="278" customFormat="1" ht="15.75" customHeight="1" x14ac:dyDescent="0.2">
      <c r="A452" s="246"/>
      <c r="B452" s="246"/>
      <c r="C452" s="246"/>
      <c r="D452" s="432"/>
      <c r="H452" s="244"/>
      <c r="K452" s="244"/>
      <c r="O452" s="246"/>
    </row>
    <row r="453" spans="1:15" s="278" customFormat="1" ht="15.75" customHeight="1" x14ac:dyDescent="0.2">
      <c r="A453" s="246"/>
      <c r="B453" s="246"/>
      <c r="C453" s="246"/>
      <c r="D453" s="432"/>
      <c r="H453" s="244"/>
      <c r="K453" s="244"/>
      <c r="O453" s="246"/>
    </row>
    <row r="454" spans="1:15" s="278" customFormat="1" ht="15.75" customHeight="1" x14ac:dyDescent="0.2">
      <c r="A454" s="246"/>
      <c r="B454" s="246"/>
      <c r="C454" s="246"/>
      <c r="D454" s="432"/>
      <c r="H454" s="244"/>
      <c r="K454" s="244"/>
      <c r="O454" s="246"/>
    </row>
    <row r="455" spans="1:15" s="278" customFormat="1" ht="15.75" customHeight="1" x14ac:dyDescent="0.2">
      <c r="A455" s="246"/>
      <c r="B455" s="246"/>
      <c r="C455" s="246"/>
      <c r="D455" s="432"/>
      <c r="H455" s="244"/>
      <c r="K455" s="244"/>
      <c r="O455" s="246"/>
    </row>
    <row r="456" spans="1:15" s="278" customFormat="1" ht="15.75" customHeight="1" x14ac:dyDescent="0.2">
      <c r="A456" s="246"/>
      <c r="B456" s="246"/>
      <c r="C456" s="246"/>
      <c r="D456" s="432"/>
      <c r="H456" s="244"/>
      <c r="K456" s="244"/>
      <c r="O456" s="246"/>
    </row>
    <row r="457" spans="1:15" s="278" customFormat="1" ht="15.75" customHeight="1" x14ac:dyDescent="0.2">
      <c r="A457" s="246"/>
      <c r="B457" s="246"/>
      <c r="C457" s="246"/>
      <c r="D457" s="432"/>
      <c r="H457" s="244"/>
      <c r="K457" s="244"/>
      <c r="O457" s="246"/>
    </row>
    <row r="458" spans="1:15" s="278" customFormat="1" ht="15.75" customHeight="1" x14ac:dyDescent="0.2">
      <c r="A458" s="246"/>
      <c r="B458" s="246"/>
      <c r="C458" s="246"/>
      <c r="D458" s="432"/>
      <c r="H458" s="244"/>
      <c r="K458" s="244"/>
      <c r="O458" s="246"/>
    </row>
    <row r="459" spans="1:15" s="278" customFormat="1" ht="15.75" customHeight="1" x14ac:dyDescent="0.2">
      <c r="A459" s="246"/>
      <c r="B459" s="246"/>
      <c r="C459" s="246"/>
      <c r="D459" s="432"/>
      <c r="H459" s="244"/>
      <c r="K459" s="244"/>
      <c r="O459" s="246"/>
    </row>
    <row r="460" spans="1:15" s="278" customFormat="1" ht="15.75" customHeight="1" x14ac:dyDescent="0.2">
      <c r="A460" s="246"/>
      <c r="B460" s="246"/>
      <c r="C460" s="246"/>
      <c r="D460" s="432"/>
      <c r="H460" s="244"/>
      <c r="K460" s="244"/>
      <c r="O460" s="246"/>
    </row>
    <row r="461" spans="1:15" s="278" customFormat="1" ht="15.75" customHeight="1" x14ac:dyDescent="0.2">
      <c r="A461" s="246"/>
      <c r="B461" s="246"/>
      <c r="C461" s="246"/>
      <c r="D461" s="432"/>
      <c r="H461" s="244"/>
      <c r="K461" s="244"/>
      <c r="O461" s="246"/>
    </row>
    <row r="462" spans="1:15" s="278" customFormat="1" ht="15.75" customHeight="1" x14ac:dyDescent="0.2">
      <c r="A462" s="246"/>
      <c r="B462" s="246"/>
      <c r="C462" s="246"/>
      <c r="D462" s="432"/>
      <c r="H462" s="244"/>
      <c r="K462" s="244"/>
      <c r="O462" s="246"/>
    </row>
    <row r="463" spans="1:15" s="278" customFormat="1" ht="15.75" customHeight="1" x14ac:dyDescent="0.2">
      <c r="A463" s="246"/>
      <c r="B463" s="246"/>
      <c r="C463" s="246"/>
      <c r="D463" s="432"/>
      <c r="H463" s="244"/>
      <c r="K463" s="244"/>
      <c r="O463" s="246"/>
    </row>
    <row r="464" spans="1:15" s="278" customFormat="1" ht="15.75" customHeight="1" x14ac:dyDescent="0.2">
      <c r="A464" s="246"/>
      <c r="B464" s="246"/>
      <c r="C464" s="246"/>
      <c r="D464" s="432"/>
      <c r="H464" s="244"/>
      <c r="K464" s="244"/>
      <c r="O464" s="246"/>
    </row>
    <row r="465" spans="1:15" s="278" customFormat="1" ht="15.75" customHeight="1" x14ac:dyDescent="0.2">
      <c r="A465" s="246"/>
      <c r="B465" s="246"/>
      <c r="C465" s="246"/>
      <c r="D465" s="432"/>
      <c r="H465" s="244"/>
      <c r="K465" s="244"/>
      <c r="O465" s="246"/>
    </row>
    <row r="466" spans="1:15" s="278" customFormat="1" ht="15.75" customHeight="1" x14ac:dyDescent="0.2">
      <c r="A466" s="246"/>
      <c r="B466" s="246"/>
      <c r="C466" s="246"/>
      <c r="D466" s="432"/>
      <c r="H466" s="244"/>
      <c r="K466" s="244"/>
      <c r="O466" s="246"/>
    </row>
    <row r="467" spans="1:15" s="278" customFormat="1" ht="15.75" customHeight="1" x14ac:dyDescent="0.2">
      <c r="A467" s="246"/>
      <c r="B467" s="246"/>
      <c r="C467" s="246"/>
      <c r="D467" s="432"/>
      <c r="H467" s="244"/>
      <c r="K467" s="244"/>
      <c r="O467" s="246"/>
    </row>
    <row r="468" spans="1:15" s="278" customFormat="1" ht="15.75" customHeight="1" x14ac:dyDescent="0.2">
      <c r="A468" s="246"/>
      <c r="B468" s="246"/>
      <c r="C468" s="246"/>
      <c r="D468" s="432"/>
      <c r="H468" s="244"/>
      <c r="K468" s="244"/>
      <c r="O468" s="246"/>
    </row>
    <row r="469" spans="1:15" s="278" customFormat="1" ht="15.75" customHeight="1" x14ac:dyDescent="0.2">
      <c r="A469" s="246"/>
      <c r="B469" s="246"/>
      <c r="C469" s="246"/>
      <c r="D469" s="432"/>
      <c r="H469" s="244"/>
      <c r="K469" s="244"/>
      <c r="O469" s="246"/>
    </row>
    <row r="470" spans="1:15" s="278" customFormat="1" ht="15.75" customHeight="1" x14ac:dyDescent="0.2">
      <c r="A470" s="246"/>
      <c r="B470" s="246"/>
      <c r="C470" s="246"/>
      <c r="D470" s="432"/>
      <c r="H470" s="244"/>
      <c r="K470" s="244"/>
      <c r="O470" s="246"/>
    </row>
    <row r="471" spans="1:15" s="278" customFormat="1" ht="15.75" customHeight="1" x14ac:dyDescent="0.2">
      <c r="A471" s="246"/>
      <c r="B471" s="246"/>
      <c r="C471" s="246"/>
      <c r="D471" s="432"/>
      <c r="H471" s="244"/>
      <c r="K471" s="244"/>
      <c r="O471" s="246"/>
    </row>
    <row r="472" spans="1:15" s="278" customFormat="1" ht="15.75" customHeight="1" x14ac:dyDescent="0.2">
      <c r="A472" s="246"/>
      <c r="B472" s="246"/>
      <c r="C472" s="246"/>
      <c r="D472" s="432"/>
      <c r="H472" s="244"/>
      <c r="K472" s="244"/>
      <c r="O472" s="246"/>
    </row>
    <row r="473" spans="1:15" s="278" customFormat="1" ht="15.75" customHeight="1" x14ac:dyDescent="0.2">
      <c r="A473" s="246"/>
      <c r="B473" s="246"/>
      <c r="C473" s="246"/>
      <c r="D473" s="432"/>
      <c r="H473" s="244"/>
      <c r="K473" s="244"/>
      <c r="O473" s="246"/>
    </row>
    <row r="474" spans="1:15" s="278" customFormat="1" ht="15.75" customHeight="1" x14ac:dyDescent="0.2">
      <c r="A474" s="246"/>
      <c r="B474" s="246"/>
      <c r="C474" s="246"/>
      <c r="D474" s="432"/>
      <c r="H474" s="244"/>
      <c r="K474" s="244"/>
      <c r="O474" s="246"/>
    </row>
    <row r="475" spans="1:15" s="278" customFormat="1" ht="15.75" customHeight="1" x14ac:dyDescent="0.2">
      <c r="A475" s="246"/>
      <c r="B475" s="246"/>
      <c r="C475" s="246"/>
      <c r="D475" s="432"/>
      <c r="H475" s="244"/>
      <c r="K475" s="244"/>
      <c r="O475" s="246"/>
    </row>
    <row r="476" spans="1:15" s="278" customFormat="1" ht="15.75" customHeight="1" x14ac:dyDescent="0.2">
      <c r="A476" s="246"/>
      <c r="B476" s="246"/>
      <c r="C476" s="246"/>
      <c r="D476" s="432"/>
      <c r="H476" s="244"/>
      <c r="K476" s="244"/>
      <c r="O476" s="246"/>
    </row>
    <row r="477" spans="1:15" s="278" customFormat="1" ht="15.75" customHeight="1" x14ac:dyDescent="0.2">
      <c r="A477" s="246"/>
      <c r="B477" s="246"/>
      <c r="C477" s="246"/>
      <c r="D477" s="432"/>
      <c r="H477" s="244"/>
      <c r="K477" s="244"/>
      <c r="O477" s="246"/>
    </row>
    <row r="478" spans="1:15" s="278" customFormat="1" ht="15.75" customHeight="1" x14ac:dyDescent="0.2">
      <c r="A478" s="246"/>
      <c r="B478" s="246"/>
      <c r="C478" s="246"/>
      <c r="D478" s="432"/>
      <c r="H478" s="244"/>
      <c r="K478" s="244"/>
      <c r="O478" s="246"/>
    </row>
    <row r="479" spans="1:15" s="278" customFormat="1" ht="15.75" customHeight="1" x14ac:dyDescent="0.2">
      <c r="A479" s="246"/>
      <c r="B479" s="246"/>
      <c r="C479" s="246"/>
      <c r="D479" s="432"/>
      <c r="H479" s="244"/>
      <c r="K479" s="244"/>
      <c r="O479" s="246"/>
    </row>
    <row r="480" spans="1:15" s="278" customFormat="1" ht="15.75" customHeight="1" x14ac:dyDescent="0.2">
      <c r="A480" s="246"/>
      <c r="B480" s="246"/>
      <c r="C480" s="246"/>
      <c r="D480" s="432"/>
      <c r="H480" s="244"/>
      <c r="K480" s="244"/>
      <c r="O480" s="246"/>
    </row>
    <row r="481" spans="1:15" s="278" customFormat="1" ht="15.75" customHeight="1" x14ac:dyDescent="0.2">
      <c r="A481" s="246"/>
      <c r="B481" s="246"/>
      <c r="C481" s="246"/>
      <c r="D481" s="432"/>
      <c r="H481" s="244"/>
      <c r="K481" s="244"/>
      <c r="O481" s="246"/>
    </row>
    <row r="482" spans="1:15" s="278" customFormat="1" ht="15.75" customHeight="1" x14ac:dyDescent="0.2">
      <c r="A482" s="246"/>
      <c r="B482" s="246"/>
      <c r="C482" s="246"/>
      <c r="D482" s="432"/>
      <c r="H482" s="244"/>
      <c r="K482" s="244"/>
      <c r="O482" s="246"/>
    </row>
    <row r="483" spans="1:15" s="278" customFormat="1" ht="15.75" customHeight="1" x14ac:dyDescent="0.2">
      <c r="A483" s="246"/>
      <c r="B483" s="246"/>
      <c r="C483" s="246"/>
      <c r="D483" s="432"/>
      <c r="H483" s="244"/>
      <c r="K483" s="244"/>
      <c r="O483" s="246"/>
    </row>
    <row r="484" spans="1:15" s="278" customFormat="1" ht="15.75" customHeight="1" x14ac:dyDescent="0.2">
      <c r="A484" s="246"/>
      <c r="B484" s="246"/>
      <c r="C484" s="246"/>
      <c r="D484" s="432"/>
      <c r="H484" s="244"/>
      <c r="K484" s="244"/>
      <c r="O484" s="246"/>
    </row>
    <row r="485" spans="1:15" s="278" customFormat="1" ht="15.75" customHeight="1" x14ac:dyDescent="0.2">
      <c r="A485" s="246"/>
      <c r="B485" s="246"/>
      <c r="C485" s="246"/>
      <c r="D485" s="432"/>
      <c r="H485" s="244"/>
      <c r="K485" s="244"/>
      <c r="O485" s="246"/>
    </row>
    <row r="486" spans="1:15" s="278" customFormat="1" ht="15.75" customHeight="1" x14ac:dyDescent="0.2">
      <c r="A486" s="246"/>
      <c r="B486" s="246"/>
      <c r="C486" s="246"/>
      <c r="D486" s="432"/>
      <c r="H486" s="244"/>
      <c r="K486" s="244"/>
      <c r="O486" s="246"/>
    </row>
    <row r="487" spans="1:15" s="278" customFormat="1" ht="15.75" customHeight="1" x14ac:dyDescent="0.2">
      <c r="A487" s="246"/>
      <c r="B487" s="246"/>
      <c r="C487" s="246"/>
      <c r="D487" s="432"/>
      <c r="H487" s="244"/>
      <c r="K487" s="244"/>
      <c r="O487" s="246"/>
    </row>
    <row r="488" spans="1:15" s="278" customFormat="1" ht="15.75" customHeight="1" x14ac:dyDescent="0.2">
      <c r="A488" s="246"/>
      <c r="B488" s="246"/>
      <c r="C488" s="246"/>
      <c r="D488" s="432"/>
      <c r="H488" s="244"/>
      <c r="K488" s="244"/>
      <c r="O488" s="246"/>
    </row>
    <row r="489" spans="1:15" s="278" customFormat="1" ht="15.75" customHeight="1" x14ac:dyDescent="0.2">
      <c r="A489" s="246"/>
      <c r="B489" s="246"/>
      <c r="C489" s="246"/>
      <c r="D489" s="432"/>
      <c r="H489" s="244"/>
      <c r="K489" s="244"/>
      <c r="O489" s="246"/>
    </row>
    <row r="490" spans="1:15" s="278" customFormat="1" ht="15.75" customHeight="1" x14ac:dyDescent="0.2">
      <c r="A490" s="246"/>
      <c r="B490" s="246"/>
      <c r="C490" s="246"/>
      <c r="D490" s="432"/>
      <c r="H490" s="244"/>
      <c r="K490" s="244"/>
      <c r="O490" s="246"/>
    </row>
    <row r="491" spans="1:15" s="278" customFormat="1" ht="15.75" customHeight="1" x14ac:dyDescent="0.2">
      <c r="A491" s="246"/>
      <c r="B491" s="246"/>
      <c r="C491" s="246"/>
      <c r="D491" s="432"/>
      <c r="H491" s="244"/>
      <c r="K491" s="244"/>
      <c r="O491" s="246"/>
    </row>
    <row r="492" spans="1:15" s="278" customFormat="1" ht="15.75" customHeight="1" x14ac:dyDescent="0.2">
      <c r="A492" s="246"/>
      <c r="B492" s="246"/>
      <c r="C492" s="246"/>
      <c r="D492" s="432"/>
      <c r="H492" s="244"/>
      <c r="K492" s="244"/>
      <c r="O492" s="246"/>
    </row>
    <row r="493" spans="1:15" s="278" customFormat="1" ht="15.75" customHeight="1" x14ac:dyDescent="0.2">
      <c r="A493" s="246"/>
      <c r="B493" s="246"/>
      <c r="C493" s="246"/>
      <c r="D493" s="432"/>
      <c r="H493" s="244"/>
      <c r="K493" s="244"/>
      <c r="O493" s="246"/>
    </row>
    <row r="494" spans="1:15" s="278" customFormat="1" ht="15.75" customHeight="1" x14ac:dyDescent="0.2">
      <c r="A494" s="246"/>
      <c r="B494" s="246"/>
      <c r="C494" s="246"/>
      <c r="D494" s="432"/>
      <c r="H494" s="244"/>
      <c r="K494" s="244"/>
      <c r="O494" s="246"/>
    </row>
    <row r="495" spans="1:15" s="278" customFormat="1" ht="15.75" customHeight="1" x14ac:dyDescent="0.2">
      <c r="A495" s="246"/>
      <c r="B495" s="246"/>
      <c r="C495" s="246"/>
      <c r="D495" s="432"/>
      <c r="H495" s="244"/>
      <c r="K495" s="244"/>
      <c r="O495" s="246"/>
    </row>
    <row r="496" spans="1:15" s="278" customFormat="1" ht="15.75" customHeight="1" x14ac:dyDescent="0.2">
      <c r="A496" s="246"/>
      <c r="B496" s="246"/>
      <c r="C496" s="246"/>
      <c r="D496" s="432"/>
      <c r="H496" s="244"/>
      <c r="K496" s="244"/>
      <c r="O496" s="246"/>
    </row>
    <row r="497" spans="1:15" s="278" customFormat="1" ht="15.75" customHeight="1" x14ac:dyDescent="0.2">
      <c r="A497" s="246"/>
      <c r="B497" s="246"/>
      <c r="C497" s="246"/>
      <c r="D497" s="432"/>
      <c r="H497" s="244"/>
      <c r="K497" s="244"/>
      <c r="O497" s="246"/>
    </row>
    <row r="498" spans="1:15" s="278" customFormat="1" ht="15.75" customHeight="1" x14ac:dyDescent="0.2">
      <c r="A498" s="246"/>
      <c r="B498" s="246"/>
      <c r="C498" s="246"/>
      <c r="D498" s="432"/>
      <c r="H498" s="244"/>
      <c r="K498" s="244"/>
      <c r="O498" s="246"/>
    </row>
    <row r="499" spans="1:15" s="278" customFormat="1" ht="15.75" customHeight="1" x14ac:dyDescent="0.2">
      <c r="A499" s="246"/>
      <c r="B499" s="246"/>
      <c r="C499" s="246"/>
      <c r="D499" s="432"/>
      <c r="H499" s="244"/>
      <c r="K499" s="244"/>
      <c r="O499" s="246"/>
    </row>
    <row r="500" spans="1:15" s="278" customFormat="1" ht="15.75" customHeight="1" x14ac:dyDescent="0.2">
      <c r="A500" s="246"/>
      <c r="B500" s="246"/>
      <c r="C500" s="246"/>
      <c r="D500" s="432"/>
      <c r="H500" s="244"/>
      <c r="K500" s="244"/>
      <c r="O500" s="246"/>
    </row>
    <row r="501" spans="1:15" s="278" customFormat="1" ht="15.75" customHeight="1" x14ac:dyDescent="0.2">
      <c r="A501" s="246"/>
      <c r="B501" s="246"/>
      <c r="C501" s="246"/>
      <c r="D501" s="432"/>
      <c r="H501" s="244"/>
      <c r="K501" s="244"/>
      <c r="O501" s="246"/>
    </row>
    <row r="502" spans="1:15" s="278" customFormat="1" ht="15.75" customHeight="1" x14ac:dyDescent="0.2">
      <c r="A502" s="246"/>
      <c r="B502" s="246"/>
      <c r="C502" s="246"/>
      <c r="D502" s="432"/>
      <c r="H502" s="244"/>
      <c r="K502" s="244"/>
      <c r="O502" s="246"/>
    </row>
    <row r="503" spans="1:15" s="278" customFormat="1" ht="15.75" customHeight="1" x14ac:dyDescent="0.2">
      <c r="A503" s="246"/>
      <c r="B503" s="246"/>
      <c r="C503" s="246"/>
      <c r="D503" s="432"/>
      <c r="H503" s="244"/>
      <c r="K503" s="244"/>
      <c r="O503" s="246"/>
    </row>
    <row r="504" spans="1:15" s="278" customFormat="1" ht="15.75" customHeight="1" x14ac:dyDescent="0.2">
      <c r="A504" s="246"/>
      <c r="B504" s="246"/>
      <c r="C504" s="246"/>
      <c r="D504" s="432"/>
      <c r="H504" s="244"/>
      <c r="K504" s="244"/>
      <c r="O504" s="246"/>
    </row>
    <row r="505" spans="1:15" s="278" customFormat="1" ht="15.75" customHeight="1" x14ac:dyDescent="0.2">
      <c r="A505" s="246"/>
      <c r="B505" s="246"/>
      <c r="C505" s="246"/>
      <c r="D505" s="432"/>
      <c r="H505" s="244"/>
      <c r="K505" s="244"/>
      <c r="O505" s="246"/>
    </row>
    <row r="506" spans="1:15" s="278" customFormat="1" ht="15.75" customHeight="1" x14ac:dyDescent="0.2">
      <c r="A506" s="246"/>
      <c r="B506" s="246"/>
      <c r="C506" s="246"/>
      <c r="D506" s="432"/>
      <c r="H506" s="244"/>
      <c r="K506" s="244"/>
      <c r="O506" s="246"/>
    </row>
    <row r="507" spans="1:15" s="278" customFormat="1" ht="15.75" customHeight="1" x14ac:dyDescent="0.2">
      <c r="A507" s="246"/>
      <c r="B507" s="246"/>
      <c r="C507" s="246"/>
      <c r="D507" s="432"/>
      <c r="H507" s="244"/>
      <c r="K507" s="244"/>
      <c r="O507" s="246"/>
    </row>
    <row r="508" spans="1:15" s="278" customFormat="1" ht="15.75" customHeight="1" x14ac:dyDescent="0.2">
      <c r="A508" s="246"/>
      <c r="B508" s="246"/>
      <c r="C508" s="246"/>
      <c r="D508" s="432"/>
      <c r="H508" s="244"/>
      <c r="K508" s="244"/>
      <c r="O508" s="246"/>
    </row>
    <row r="509" spans="1:15" s="278" customFormat="1" ht="15.75" customHeight="1" x14ac:dyDescent="0.2">
      <c r="A509" s="246"/>
      <c r="B509" s="246"/>
      <c r="C509" s="246"/>
      <c r="D509" s="432"/>
      <c r="H509" s="244"/>
      <c r="K509" s="244"/>
      <c r="O509" s="246"/>
    </row>
    <row r="510" spans="1:15" s="278" customFormat="1" ht="15.75" customHeight="1" x14ac:dyDescent="0.2">
      <c r="A510" s="246"/>
      <c r="B510" s="246"/>
      <c r="C510" s="246"/>
      <c r="D510" s="432"/>
      <c r="H510" s="244"/>
      <c r="K510" s="244"/>
      <c r="O510" s="246"/>
    </row>
    <row r="511" spans="1:15" s="278" customFormat="1" ht="15.75" customHeight="1" x14ac:dyDescent="0.2">
      <c r="A511" s="246"/>
      <c r="B511" s="246"/>
      <c r="C511" s="246"/>
      <c r="D511" s="432"/>
      <c r="H511" s="244"/>
      <c r="K511" s="244"/>
      <c r="O511" s="246"/>
    </row>
    <row r="512" spans="1:15" s="278" customFormat="1" ht="15.75" customHeight="1" x14ac:dyDescent="0.2">
      <c r="A512" s="246"/>
      <c r="B512" s="246"/>
      <c r="C512" s="246"/>
      <c r="D512" s="432"/>
      <c r="H512" s="244"/>
      <c r="K512" s="244"/>
      <c r="O512" s="246"/>
    </row>
    <row r="513" spans="1:15" s="278" customFormat="1" ht="15.75" customHeight="1" x14ac:dyDescent="0.2">
      <c r="A513" s="246"/>
      <c r="B513" s="246"/>
      <c r="C513" s="246"/>
      <c r="D513" s="432"/>
      <c r="H513" s="244"/>
      <c r="K513" s="244"/>
      <c r="O513" s="246"/>
    </row>
    <row r="514" spans="1:15" s="278" customFormat="1" ht="15.75" customHeight="1" x14ac:dyDescent="0.2">
      <c r="A514" s="246"/>
      <c r="B514" s="246"/>
      <c r="C514" s="246"/>
      <c r="D514" s="432"/>
      <c r="H514" s="244"/>
      <c r="K514" s="244"/>
      <c r="O514" s="246"/>
    </row>
    <row r="515" spans="1:15" s="278" customFormat="1" ht="15.75" customHeight="1" x14ac:dyDescent="0.2">
      <c r="A515" s="246"/>
      <c r="B515" s="246"/>
      <c r="C515" s="246"/>
      <c r="D515" s="432"/>
      <c r="H515" s="244"/>
      <c r="K515" s="244"/>
      <c r="O515" s="246"/>
    </row>
    <row r="516" spans="1:15" s="278" customFormat="1" ht="15.75" customHeight="1" x14ac:dyDescent="0.2">
      <c r="A516" s="246"/>
      <c r="B516" s="246"/>
      <c r="C516" s="246"/>
      <c r="D516" s="432"/>
      <c r="H516" s="244"/>
      <c r="K516" s="244"/>
      <c r="O516" s="246"/>
    </row>
    <row r="517" spans="1:15" s="278" customFormat="1" ht="15.75" customHeight="1" x14ac:dyDescent="0.2">
      <c r="A517" s="246"/>
      <c r="B517" s="246"/>
      <c r="C517" s="246"/>
      <c r="D517" s="432"/>
      <c r="H517" s="244"/>
      <c r="K517" s="244"/>
      <c r="O517" s="246"/>
    </row>
    <row r="518" spans="1:15" s="278" customFormat="1" ht="15.75" customHeight="1" x14ac:dyDescent="0.2">
      <c r="A518" s="246"/>
      <c r="B518" s="246"/>
      <c r="C518" s="246"/>
      <c r="D518" s="432"/>
      <c r="H518" s="244"/>
      <c r="K518" s="244"/>
      <c r="O518" s="246"/>
    </row>
    <row r="519" spans="1:15" s="278" customFormat="1" ht="15.75" customHeight="1" x14ac:dyDescent="0.2">
      <c r="A519" s="246"/>
      <c r="B519" s="246"/>
      <c r="C519" s="246"/>
      <c r="D519" s="432"/>
      <c r="H519" s="244"/>
      <c r="K519" s="244"/>
      <c r="O519" s="246"/>
    </row>
    <row r="520" spans="1:15" s="278" customFormat="1" ht="15.75" customHeight="1" x14ac:dyDescent="0.2">
      <c r="A520" s="246"/>
      <c r="B520" s="246"/>
      <c r="C520" s="246"/>
      <c r="D520" s="432"/>
      <c r="H520" s="244"/>
      <c r="K520" s="244"/>
      <c r="O520" s="246"/>
    </row>
    <row r="521" spans="1:15" s="278" customFormat="1" ht="15.75" customHeight="1" x14ac:dyDescent="0.2">
      <c r="A521" s="246"/>
      <c r="B521" s="246"/>
      <c r="C521" s="246"/>
      <c r="D521" s="432"/>
      <c r="H521" s="244"/>
      <c r="K521" s="244"/>
      <c r="O521" s="246"/>
    </row>
    <row r="522" spans="1:15" s="278" customFormat="1" ht="15.75" customHeight="1" x14ac:dyDescent="0.2">
      <c r="A522" s="246"/>
      <c r="B522" s="246"/>
      <c r="C522" s="246"/>
      <c r="D522" s="432"/>
      <c r="H522" s="244"/>
      <c r="K522" s="244"/>
      <c r="O522" s="246"/>
    </row>
    <row r="523" spans="1:15" s="278" customFormat="1" ht="15.75" customHeight="1" x14ac:dyDescent="0.2">
      <c r="A523" s="246"/>
      <c r="B523" s="246"/>
      <c r="C523" s="246"/>
      <c r="D523" s="432"/>
      <c r="H523" s="244"/>
      <c r="K523" s="244"/>
      <c r="O523" s="246"/>
    </row>
    <row r="524" spans="1:15" s="278" customFormat="1" ht="15.75" customHeight="1" x14ac:dyDescent="0.2">
      <c r="A524" s="246"/>
      <c r="B524" s="246"/>
      <c r="C524" s="246"/>
      <c r="D524" s="432"/>
      <c r="H524" s="244"/>
      <c r="K524" s="244"/>
      <c r="O524" s="246"/>
    </row>
    <row r="525" spans="1:15" s="278" customFormat="1" ht="15.75" customHeight="1" x14ac:dyDescent="0.2">
      <c r="A525" s="246"/>
      <c r="B525" s="246"/>
      <c r="C525" s="246"/>
      <c r="D525" s="432"/>
      <c r="H525" s="244"/>
      <c r="K525" s="244"/>
      <c r="O525" s="246"/>
    </row>
    <row r="526" spans="1:15" s="278" customFormat="1" ht="15.75" customHeight="1" x14ac:dyDescent="0.2">
      <c r="A526" s="246"/>
      <c r="B526" s="246"/>
      <c r="C526" s="246"/>
      <c r="D526" s="432"/>
      <c r="H526" s="244"/>
      <c r="K526" s="244"/>
      <c r="O526" s="246"/>
    </row>
    <row r="527" spans="1:15" s="278" customFormat="1" ht="15.75" customHeight="1" x14ac:dyDescent="0.2">
      <c r="A527" s="246"/>
      <c r="B527" s="246"/>
      <c r="C527" s="246"/>
      <c r="D527" s="432"/>
      <c r="H527" s="244"/>
      <c r="K527" s="244"/>
      <c r="O527" s="246"/>
    </row>
    <row r="528" spans="1:15" s="278" customFormat="1" ht="15.75" customHeight="1" x14ac:dyDescent="0.2">
      <c r="A528" s="246"/>
      <c r="B528" s="246"/>
      <c r="C528" s="246"/>
      <c r="D528" s="432"/>
      <c r="H528" s="244"/>
      <c r="K528" s="244"/>
      <c r="O528" s="246"/>
    </row>
    <row r="529" spans="1:15" s="278" customFormat="1" ht="15.75" customHeight="1" x14ac:dyDescent="0.2">
      <c r="A529" s="246"/>
      <c r="B529" s="246"/>
      <c r="C529" s="246"/>
      <c r="D529" s="432"/>
      <c r="H529" s="244"/>
      <c r="K529" s="244"/>
      <c r="O529" s="246"/>
    </row>
    <row r="530" spans="1:15" s="278" customFormat="1" ht="15.75" customHeight="1" x14ac:dyDescent="0.2">
      <c r="A530" s="246"/>
      <c r="B530" s="246"/>
      <c r="C530" s="246"/>
      <c r="D530" s="432"/>
      <c r="H530" s="244"/>
      <c r="K530" s="244"/>
      <c r="O530" s="246"/>
    </row>
    <row r="531" spans="1:15" s="278" customFormat="1" ht="15.75" customHeight="1" x14ac:dyDescent="0.2">
      <c r="A531" s="246"/>
      <c r="B531" s="246"/>
      <c r="C531" s="246"/>
      <c r="D531" s="432"/>
      <c r="H531" s="244"/>
      <c r="K531" s="244"/>
      <c r="O531" s="246"/>
    </row>
    <row r="532" spans="1:15" s="278" customFormat="1" ht="15.75" customHeight="1" x14ac:dyDescent="0.2">
      <c r="A532" s="246"/>
      <c r="B532" s="246"/>
      <c r="C532" s="246"/>
      <c r="D532" s="432"/>
      <c r="H532" s="244"/>
      <c r="K532" s="244"/>
      <c r="O532" s="246"/>
    </row>
    <row r="533" spans="1:15" s="278" customFormat="1" ht="15.75" customHeight="1" x14ac:dyDescent="0.2">
      <c r="A533" s="246"/>
      <c r="B533" s="246"/>
      <c r="C533" s="246"/>
      <c r="D533" s="432"/>
      <c r="H533" s="244"/>
      <c r="K533" s="244"/>
      <c r="O533" s="246"/>
    </row>
    <row r="534" spans="1:15" s="278" customFormat="1" ht="15.75" customHeight="1" x14ac:dyDescent="0.2">
      <c r="A534" s="246"/>
      <c r="B534" s="246"/>
      <c r="C534" s="246"/>
      <c r="D534" s="432"/>
      <c r="H534" s="244"/>
      <c r="K534" s="244"/>
      <c r="O534" s="246"/>
    </row>
    <row r="535" spans="1:15" s="278" customFormat="1" ht="15.75" customHeight="1" x14ac:dyDescent="0.2">
      <c r="A535" s="246"/>
      <c r="B535" s="246"/>
      <c r="C535" s="246"/>
      <c r="D535" s="432"/>
      <c r="H535" s="244"/>
      <c r="K535" s="244"/>
      <c r="O535" s="246"/>
    </row>
    <row r="536" spans="1:15" s="278" customFormat="1" ht="15.75" customHeight="1" x14ac:dyDescent="0.2">
      <c r="A536" s="246"/>
      <c r="B536" s="246"/>
      <c r="C536" s="246"/>
      <c r="D536" s="432"/>
      <c r="H536" s="244"/>
      <c r="K536" s="244"/>
      <c r="O536" s="246"/>
    </row>
    <row r="537" spans="1:15" s="278" customFormat="1" ht="15.75" customHeight="1" x14ac:dyDescent="0.2">
      <c r="A537" s="246"/>
      <c r="B537" s="246"/>
      <c r="C537" s="246"/>
      <c r="D537" s="432"/>
      <c r="H537" s="244"/>
      <c r="K537" s="244"/>
      <c r="O537" s="246"/>
    </row>
    <row r="538" spans="1:15" s="278" customFormat="1" ht="15.75" customHeight="1" x14ac:dyDescent="0.2">
      <c r="A538" s="246"/>
      <c r="B538" s="246"/>
      <c r="C538" s="246"/>
      <c r="D538" s="432"/>
      <c r="H538" s="244"/>
      <c r="K538" s="244"/>
      <c r="O538" s="246"/>
    </row>
    <row r="539" spans="1:15" s="278" customFormat="1" ht="15.75" customHeight="1" x14ac:dyDescent="0.2">
      <c r="A539" s="246"/>
      <c r="B539" s="246"/>
      <c r="C539" s="246"/>
      <c r="D539" s="432"/>
      <c r="H539" s="244"/>
      <c r="K539" s="244"/>
      <c r="O539" s="246"/>
    </row>
    <row r="540" spans="1:15" s="278" customFormat="1" ht="15.75" customHeight="1" x14ac:dyDescent="0.2">
      <c r="A540" s="246"/>
      <c r="B540" s="246"/>
      <c r="C540" s="246"/>
      <c r="D540" s="432"/>
      <c r="H540" s="244"/>
      <c r="K540" s="244"/>
      <c r="O540" s="246"/>
    </row>
    <row r="541" spans="1:15" s="278" customFormat="1" ht="15.75" customHeight="1" x14ac:dyDescent="0.2">
      <c r="A541" s="246"/>
      <c r="B541" s="246"/>
      <c r="C541" s="246"/>
      <c r="D541" s="432"/>
      <c r="H541" s="244"/>
      <c r="K541" s="244"/>
      <c r="O541" s="246"/>
    </row>
    <row r="542" spans="1:15" s="278" customFormat="1" ht="15.75" customHeight="1" x14ac:dyDescent="0.2">
      <c r="A542" s="246"/>
      <c r="B542" s="246"/>
      <c r="C542" s="246"/>
      <c r="D542" s="432"/>
      <c r="H542" s="244"/>
      <c r="K542" s="244"/>
      <c r="O542" s="246"/>
    </row>
    <row r="543" spans="1:15" s="278" customFormat="1" ht="15.75" customHeight="1" x14ac:dyDescent="0.2">
      <c r="A543" s="246"/>
      <c r="B543" s="246"/>
      <c r="C543" s="246"/>
      <c r="D543" s="432"/>
      <c r="H543" s="244"/>
      <c r="K543" s="244"/>
      <c r="O543" s="246"/>
    </row>
    <row r="544" spans="1:15" s="278" customFormat="1" ht="15.75" customHeight="1" x14ac:dyDescent="0.2">
      <c r="A544" s="246"/>
      <c r="B544" s="246"/>
      <c r="C544" s="246"/>
      <c r="D544" s="432"/>
      <c r="H544" s="244"/>
      <c r="K544" s="244"/>
      <c r="O544" s="246"/>
    </row>
    <row r="545" spans="2:3" ht="15.75" customHeight="1" x14ac:dyDescent="0.2">
      <c r="B545" s="240"/>
      <c r="C545" s="240"/>
    </row>
    <row r="546" spans="2:3" ht="15.75" customHeight="1" x14ac:dyDescent="0.2">
      <c r="B546" s="240"/>
      <c r="C546" s="240"/>
    </row>
    <row r="547" spans="2:3" ht="15.75" customHeight="1" x14ac:dyDescent="0.2">
      <c r="B547" s="240"/>
      <c r="C547" s="240"/>
    </row>
    <row r="548" spans="2:3" ht="15.75" customHeight="1" x14ac:dyDescent="0.2">
      <c r="B548" s="240"/>
      <c r="C548" s="240"/>
    </row>
    <row r="549" spans="2:3" ht="15.75" customHeight="1" x14ac:dyDescent="0.2">
      <c r="B549" s="240"/>
      <c r="C549" s="240"/>
    </row>
    <row r="550" spans="2:3" ht="15.75" customHeight="1" x14ac:dyDescent="0.2">
      <c r="B550" s="240"/>
      <c r="C550" s="240"/>
    </row>
    <row r="551" spans="2:3" ht="15.75" customHeight="1" x14ac:dyDescent="0.2">
      <c r="B551" s="240"/>
      <c r="C551" s="240"/>
    </row>
    <row r="552" spans="2:3" ht="15.75" customHeight="1" x14ac:dyDescent="0.2">
      <c r="B552" s="240"/>
      <c r="C552" s="240"/>
    </row>
    <row r="553" spans="2:3" ht="15.75" customHeight="1" x14ac:dyDescent="0.2">
      <c r="B553" s="240"/>
      <c r="C553" s="240"/>
    </row>
    <row r="554" spans="2:3" ht="15.75" customHeight="1" x14ac:dyDescent="0.2">
      <c r="B554" s="240"/>
      <c r="C554" s="240"/>
    </row>
    <row r="555" spans="2:3" ht="15.75" customHeight="1" x14ac:dyDescent="0.2">
      <c r="B555" s="240"/>
      <c r="C555" s="240"/>
    </row>
    <row r="556" spans="2:3" ht="15.75" customHeight="1" x14ac:dyDescent="0.2">
      <c r="B556" s="240"/>
      <c r="C556" s="240"/>
    </row>
    <row r="557" spans="2:3" ht="15.75" customHeight="1" x14ac:dyDescent="0.2">
      <c r="B557" s="240"/>
      <c r="C557" s="240"/>
    </row>
    <row r="558" spans="2:3" ht="15.75" customHeight="1" x14ac:dyDescent="0.2">
      <c r="B558" s="240"/>
      <c r="C558" s="240"/>
    </row>
    <row r="559" spans="2:3" ht="15.75" customHeight="1" x14ac:dyDescent="0.2">
      <c r="B559" s="240"/>
      <c r="C559" s="240"/>
    </row>
    <row r="560" spans="2:3" ht="15.75" customHeight="1" x14ac:dyDescent="0.2">
      <c r="B560" s="240"/>
      <c r="C560" s="240"/>
    </row>
    <row r="561" spans="2:3" ht="15.75" customHeight="1" x14ac:dyDescent="0.2">
      <c r="B561" s="240"/>
      <c r="C561" s="240"/>
    </row>
    <row r="562" spans="2:3" ht="15.75" customHeight="1" x14ac:dyDescent="0.2">
      <c r="B562" s="240"/>
      <c r="C562" s="240"/>
    </row>
    <row r="563" spans="2:3" ht="15.75" customHeight="1" x14ac:dyDescent="0.2">
      <c r="B563" s="240"/>
      <c r="C563" s="240"/>
    </row>
    <row r="564" spans="2:3" ht="15.75" customHeight="1" x14ac:dyDescent="0.2">
      <c r="B564" s="240"/>
      <c r="C564" s="240"/>
    </row>
    <row r="565" spans="2:3" ht="15.75" customHeight="1" x14ac:dyDescent="0.2">
      <c r="B565" s="240"/>
      <c r="C565" s="240"/>
    </row>
    <row r="566" spans="2:3" ht="15.75" customHeight="1" x14ac:dyDescent="0.2">
      <c r="B566" s="240"/>
      <c r="C566" s="240"/>
    </row>
    <row r="567" spans="2:3" ht="15.75" customHeight="1" x14ac:dyDescent="0.2">
      <c r="B567" s="240"/>
      <c r="C567" s="240"/>
    </row>
    <row r="568" spans="2:3" ht="15.75" customHeight="1" x14ac:dyDescent="0.2">
      <c r="B568" s="240"/>
      <c r="C568" s="240"/>
    </row>
    <row r="569" spans="2:3" ht="15.75" customHeight="1" x14ac:dyDescent="0.2">
      <c r="B569" s="240"/>
      <c r="C569" s="240"/>
    </row>
    <row r="570" spans="2:3" ht="15.75" customHeight="1" x14ac:dyDescent="0.2">
      <c r="B570" s="240"/>
      <c r="C570" s="240"/>
    </row>
    <row r="571" spans="2:3" ht="15.75" customHeight="1" x14ac:dyDescent="0.2">
      <c r="B571" s="240"/>
      <c r="C571" s="240"/>
    </row>
    <row r="572" spans="2:3" ht="15.75" customHeight="1" x14ac:dyDescent="0.2">
      <c r="B572" s="240"/>
      <c r="C572" s="240"/>
    </row>
    <row r="573" spans="2:3" ht="15.75" customHeight="1" x14ac:dyDescent="0.2">
      <c r="B573" s="240"/>
      <c r="C573" s="240"/>
    </row>
    <row r="574" spans="2:3" ht="15.75" customHeight="1" x14ac:dyDescent="0.2">
      <c r="B574" s="240"/>
      <c r="C574" s="240"/>
    </row>
    <row r="575" spans="2:3" ht="15.75" customHeight="1" x14ac:dyDescent="0.2">
      <c r="B575" s="240"/>
      <c r="C575" s="240"/>
    </row>
    <row r="576" spans="2:3" ht="15.75" customHeight="1" x14ac:dyDescent="0.2">
      <c r="B576" s="240"/>
      <c r="C576" s="240"/>
    </row>
    <row r="577" spans="2:3" ht="15.75" customHeight="1" x14ac:dyDescent="0.2">
      <c r="B577" s="240"/>
      <c r="C577" s="240"/>
    </row>
    <row r="578" spans="2:3" ht="15.75" customHeight="1" x14ac:dyDescent="0.2">
      <c r="B578" s="240"/>
      <c r="C578" s="240"/>
    </row>
    <row r="579" spans="2:3" ht="15.75" customHeight="1" x14ac:dyDescent="0.2">
      <c r="B579" s="240"/>
      <c r="C579" s="240"/>
    </row>
    <row r="580" spans="2:3" ht="15.75" customHeight="1" x14ac:dyDescent="0.2">
      <c r="B580" s="240"/>
      <c r="C580" s="240"/>
    </row>
    <row r="581" spans="2:3" ht="15.75" customHeight="1" x14ac:dyDescent="0.2">
      <c r="B581" s="240"/>
      <c r="C581" s="240"/>
    </row>
    <row r="582" spans="2:3" ht="15.75" customHeight="1" x14ac:dyDescent="0.2">
      <c r="B582" s="240"/>
      <c r="C582" s="240"/>
    </row>
    <row r="583" spans="2:3" ht="15.75" customHeight="1" x14ac:dyDescent="0.2">
      <c r="B583" s="240"/>
      <c r="C583" s="240"/>
    </row>
    <row r="584" spans="2:3" ht="15.75" customHeight="1" x14ac:dyDescent="0.2">
      <c r="B584" s="240"/>
      <c r="C584" s="240"/>
    </row>
    <row r="585" spans="2:3" ht="15.75" customHeight="1" x14ac:dyDescent="0.2">
      <c r="B585" s="240"/>
      <c r="C585" s="240"/>
    </row>
    <row r="586" spans="2:3" ht="15.75" customHeight="1" x14ac:dyDescent="0.2">
      <c r="B586" s="240"/>
      <c r="C586" s="240"/>
    </row>
    <row r="587" spans="2:3" ht="15.75" customHeight="1" x14ac:dyDescent="0.2">
      <c r="B587" s="240"/>
      <c r="C587" s="240"/>
    </row>
    <row r="588" spans="2:3" ht="15.75" customHeight="1" x14ac:dyDescent="0.2">
      <c r="B588" s="240"/>
      <c r="C588" s="240"/>
    </row>
    <row r="589" spans="2:3" ht="15.75" customHeight="1" x14ac:dyDescent="0.2">
      <c r="B589" s="240"/>
      <c r="C589" s="240"/>
    </row>
    <row r="590" spans="2:3" ht="15.75" customHeight="1" x14ac:dyDescent="0.2">
      <c r="B590" s="240"/>
      <c r="C590" s="240"/>
    </row>
    <row r="591" spans="2:3" ht="15.75" customHeight="1" x14ac:dyDescent="0.2">
      <c r="B591" s="240"/>
      <c r="C591" s="240"/>
    </row>
    <row r="592" spans="2:3" ht="15.75" customHeight="1" x14ac:dyDescent="0.2">
      <c r="B592" s="240"/>
      <c r="C592" s="240"/>
    </row>
    <row r="593" spans="2:3" ht="15.75" customHeight="1" x14ac:dyDescent="0.2">
      <c r="B593" s="240"/>
      <c r="C593" s="240"/>
    </row>
    <row r="594" spans="2:3" ht="15.75" customHeight="1" x14ac:dyDescent="0.2">
      <c r="B594" s="240"/>
      <c r="C594" s="240"/>
    </row>
    <row r="595" spans="2:3" ht="15.75" customHeight="1" x14ac:dyDescent="0.2">
      <c r="B595" s="240"/>
      <c r="C595" s="240"/>
    </row>
    <row r="596" spans="2:3" ht="15.75" customHeight="1" x14ac:dyDescent="0.2">
      <c r="B596" s="240"/>
      <c r="C596" s="240"/>
    </row>
    <row r="597" spans="2:3" ht="15.75" customHeight="1" x14ac:dyDescent="0.2">
      <c r="B597" s="240"/>
      <c r="C597" s="240"/>
    </row>
    <row r="598" spans="2:3" ht="15.75" customHeight="1" x14ac:dyDescent="0.2">
      <c r="B598" s="240"/>
      <c r="C598" s="240"/>
    </row>
    <row r="599" spans="2:3" ht="15.75" customHeight="1" x14ac:dyDescent="0.2">
      <c r="B599" s="240"/>
      <c r="C599" s="240"/>
    </row>
    <row r="600" spans="2:3" ht="15.75" customHeight="1" x14ac:dyDescent="0.2">
      <c r="B600" s="240"/>
      <c r="C600" s="240"/>
    </row>
    <row r="601" spans="2:3" ht="15.75" customHeight="1" x14ac:dyDescent="0.2">
      <c r="B601" s="240"/>
      <c r="C601" s="240"/>
    </row>
    <row r="602" spans="2:3" ht="15.75" customHeight="1" x14ac:dyDescent="0.2">
      <c r="B602" s="240"/>
      <c r="C602" s="240"/>
    </row>
    <row r="603" spans="2:3" ht="15.75" customHeight="1" x14ac:dyDescent="0.2">
      <c r="B603" s="240"/>
      <c r="C603" s="240"/>
    </row>
    <row r="604" spans="2:3" ht="15.75" customHeight="1" x14ac:dyDescent="0.2">
      <c r="B604" s="240"/>
      <c r="C604" s="240"/>
    </row>
    <row r="605" spans="2:3" ht="15.75" customHeight="1" x14ac:dyDescent="0.2">
      <c r="B605" s="240"/>
      <c r="C605" s="240"/>
    </row>
    <row r="606" spans="2:3" ht="15.75" customHeight="1" x14ac:dyDescent="0.2">
      <c r="B606" s="240"/>
      <c r="C606" s="240"/>
    </row>
    <row r="607" spans="2:3" ht="15.75" customHeight="1" x14ac:dyDescent="0.2">
      <c r="B607" s="240"/>
      <c r="C607" s="240"/>
    </row>
    <row r="608" spans="2:3" ht="15.75" customHeight="1" x14ac:dyDescent="0.2">
      <c r="B608" s="240"/>
      <c r="C608" s="240"/>
    </row>
    <row r="609" spans="2:3" ht="15.75" customHeight="1" x14ac:dyDescent="0.2">
      <c r="B609" s="240"/>
      <c r="C609" s="240"/>
    </row>
    <row r="610" spans="2:3" ht="15.75" customHeight="1" x14ac:dyDescent="0.2">
      <c r="B610" s="240"/>
      <c r="C610" s="240"/>
    </row>
    <row r="611" spans="2:3" ht="15.75" customHeight="1" x14ac:dyDescent="0.2">
      <c r="B611" s="240"/>
      <c r="C611" s="240"/>
    </row>
    <row r="612" spans="2:3" ht="15.75" customHeight="1" x14ac:dyDescent="0.2">
      <c r="B612" s="240"/>
      <c r="C612" s="240"/>
    </row>
    <row r="613" spans="2:3" ht="15.75" customHeight="1" x14ac:dyDescent="0.2">
      <c r="B613" s="240"/>
      <c r="C613" s="240"/>
    </row>
    <row r="614" spans="2:3" ht="15.75" customHeight="1" x14ac:dyDescent="0.2">
      <c r="B614" s="240"/>
      <c r="C614" s="240"/>
    </row>
    <row r="615" spans="2:3" ht="15.75" customHeight="1" x14ac:dyDescent="0.2">
      <c r="B615" s="240"/>
      <c r="C615" s="240"/>
    </row>
    <row r="616" spans="2:3" ht="15.75" customHeight="1" x14ac:dyDescent="0.2">
      <c r="B616" s="240"/>
      <c r="C616" s="240"/>
    </row>
    <row r="617" spans="2:3" ht="15.75" customHeight="1" x14ac:dyDescent="0.2">
      <c r="B617" s="240"/>
      <c r="C617" s="240"/>
    </row>
    <row r="618" spans="2:3" ht="15.75" customHeight="1" x14ac:dyDescent="0.2">
      <c r="B618" s="240"/>
      <c r="C618" s="240"/>
    </row>
    <row r="619" spans="2:3" ht="15.75" customHeight="1" x14ac:dyDescent="0.2">
      <c r="B619" s="240"/>
      <c r="C619" s="240"/>
    </row>
    <row r="620" spans="2:3" ht="15.75" customHeight="1" x14ac:dyDescent="0.2">
      <c r="B620" s="240"/>
      <c r="C620" s="240"/>
    </row>
    <row r="621" spans="2:3" ht="15.75" customHeight="1" x14ac:dyDescent="0.2">
      <c r="B621" s="240"/>
      <c r="C621" s="240"/>
    </row>
    <row r="622" spans="2:3" ht="15.75" customHeight="1" x14ac:dyDescent="0.2">
      <c r="B622" s="240"/>
      <c r="C622" s="240"/>
    </row>
    <row r="623" spans="2:3" ht="15.75" customHeight="1" x14ac:dyDescent="0.2">
      <c r="B623" s="240"/>
      <c r="C623" s="240"/>
    </row>
    <row r="624" spans="2:3" ht="15.75" customHeight="1" x14ac:dyDescent="0.2">
      <c r="B624" s="240"/>
      <c r="C624" s="240"/>
    </row>
    <row r="625" spans="2:3" ht="15.75" customHeight="1" x14ac:dyDescent="0.2">
      <c r="B625" s="240"/>
      <c r="C625" s="240"/>
    </row>
    <row r="626" spans="2:3" ht="15.75" customHeight="1" x14ac:dyDescent="0.2">
      <c r="B626" s="240"/>
      <c r="C626" s="240"/>
    </row>
    <row r="627" spans="2:3" ht="15.75" customHeight="1" x14ac:dyDescent="0.2">
      <c r="B627" s="240"/>
      <c r="C627" s="240"/>
    </row>
    <row r="628" spans="2:3" ht="15.75" customHeight="1" x14ac:dyDescent="0.2">
      <c r="B628" s="240"/>
      <c r="C628" s="240"/>
    </row>
    <row r="629" spans="2:3" ht="15.75" customHeight="1" x14ac:dyDescent="0.2">
      <c r="B629" s="240"/>
      <c r="C629" s="240"/>
    </row>
    <row r="630" spans="2:3" ht="15.75" customHeight="1" x14ac:dyDescent="0.2">
      <c r="B630" s="240"/>
      <c r="C630" s="240"/>
    </row>
    <row r="631" spans="2:3" ht="15.75" customHeight="1" x14ac:dyDescent="0.2">
      <c r="B631" s="240"/>
      <c r="C631" s="240"/>
    </row>
    <row r="632" spans="2:3" ht="15.75" customHeight="1" x14ac:dyDescent="0.2">
      <c r="B632" s="240"/>
      <c r="C632" s="240"/>
    </row>
    <row r="633" spans="2:3" ht="15.75" customHeight="1" x14ac:dyDescent="0.2">
      <c r="B633" s="240"/>
      <c r="C633" s="240"/>
    </row>
    <row r="634" spans="2:3" ht="15.75" customHeight="1" x14ac:dyDescent="0.2">
      <c r="B634" s="240"/>
      <c r="C634" s="240"/>
    </row>
    <row r="635" spans="2:3" ht="15.75" customHeight="1" x14ac:dyDescent="0.2">
      <c r="B635" s="240"/>
      <c r="C635" s="240"/>
    </row>
    <row r="636" spans="2:3" ht="15.75" customHeight="1" x14ac:dyDescent="0.2">
      <c r="B636" s="240"/>
      <c r="C636" s="240"/>
    </row>
    <row r="637" spans="2:3" ht="15.75" customHeight="1" x14ac:dyDescent="0.2">
      <c r="B637" s="240"/>
      <c r="C637" s="240"/>
    </row>
    <row r="638" spans="2:3" ht="15.75" customHeight="1" x14ac:dyDescent="0.2">
      <c r="B638" s="240"/>
      <c r="C638" s="240"/>
    </row>
    <row r="639" spans="2:3" ht="15.75" customHeight="1" x14ac:dyDescent="0.2">
      <c r="B639" s="240"/>
      <c r="C639" s="240"/>
    </row>
    <row r="640" spans="2:3" ht="15.75" customHeight="1" x14ac:dyDescent="0.2">
      <c r="B640" s="240"/>
      <c r="C640" s="240"/>
    </row>
    <row r="641" spans="2:3" ht="15.75" customHeight="1" x14ac:dyDescent="0.2">
      <c r="B641" s="240"/>
      <c r="C641" s="240"/>
    </row>
    <row r="642" spans="2:3" ht="15.75" customHeight="1" x14ac:dyDescent="0.2">
      <c r="B642" s="240"/>
      <c r="C642" s="240"/>
    </row>
    <row r="643" spans="2:3" ht="15.75" customHeight="1" x14ac:dyDescent="0.2">
      <c r="B643" s="240"/>
      <c r="C643" s="240"/>
    </row>
    <row r="644" spans="2:3" ht="15.75" customHeight="1" x14ac:dyDescent="0.2">
      <c r="B644" s="240"/>
      <c r="C644" s="240"/>
    </row>
    <row r="645" spans="2:3" ht="15.75" customHeight="1" x14ac:dyDescent="0.2">
      <c r="B645" s="240"/>
      <c r="C645" s="240"/>
    </row>
    <row r="646" spans="2:3" ht="15.75" customHeight="1" x14ac:dyDescent="0.2">
      <c r="B646" s="240"/>
      <c r="C646" s="240"/>
    </row>
    <row r="647" spans="2:3" ht="15.75" customHeight="1" x14ac:dyDescent="0.2">
      <c r="B647" s="240"/>
      <c r="C647" s="240"/>
    </row>
    <row r="648" spans="2:3" ht="15.75" customHeight="1" x14ac:dyDescent="0.2">
      <c r="B648" s="240"/>
      <c r="C648" s="240"/>
    </row>
    <row r="649" spans="2:3" ht="15.75" customHeight="1" x14ac:dyDescent="0.2">
      <c r="B649" s="240"/>
      <c r="C649" s="240"/>
    </row>
    <row r="650" spans="2:3" ht="15.75" customHeight="1" x14ac:dyDescent="0.2">
      <c r="B650" s="240"/>
      <c r="C650" s="240"/>
    </row>
    <row r="651" spans="2:3" ht="15.75" customHeight="1" x14ac:dyDescent="0.2">
      <c r="B651" s="240"/>
      <c r="C651" s="240"/>
    </row>
    <row r="652" spans="2:3" ht="15.75" customHeight="1" x14ac:dyDescent="0.2">
      <c r="B652" s="240"/>
      <c r="C652" s="240"/>
    </row>
    <row r="653" spans="2:3" ht="15.75" customHeight="1" x14ac:dyDescent="0.2">
      <c r="B653" s="240"/>
      <c r="C653" s="240"/>
    </row>
    <row r="654" spans="2:3" ht="15.75" customHeight="1" x14ac:dyDescent="0.2">
      <c r="B654" s="240"/>
      <c r="C654" s="240"/>
    </row>
    <row r="655" spans="2:3" ht="15.75" customHeight="1" x14ac:dyDescent="0.2">
      <c r="B655" s="240"/>
      <c r="C655" s="240"/>
    </row>
    <row r="656" spans="2:3" ht="15.75" customHeight="1" x14ac:dyDescent="0.2">
      <c r="B656" s="240"/>
      <c r="C656" s="240"/>
    </row>
    <row r="657" spans="2:3" ht="15.75" customHeight="1" x14ac:dyDescent="0.2">
      <c r="B657" s="240"/>
      <c r="C657" s="240"/>
    </row>
    <row r="658" spans="2:3" ht="15.75" customHeight="1" x14ac:dyDescent="0.2">
      <c r="B658" s="240"/>
      <c r="C658" s="240"/>
    </row>
    <row r="659" spans="2:3" ht="15.75" customHeight="1" x14ac:dyDescent="0.2">
      <c r="B659" s="240"/>
      <c r="C659" s="240"/>
    </row>
    <row r="660" spans="2:3" ht="15.75" customHeight="1" x14ac:dyDescent="0.2">
      <c r="B660" s="240"/>
      <c r="C660" s="240"/>
    </row>
    <row r="661" spans="2:3" ht="15.75" customHeight="1" x14ac:dyDescent="0.2">
      <c r="B661" s="240"/>
      <c r="C661" s="240"/>
    </row>
    <row r="662" spans="2:3" ht="15.75" customHeight="1" x14ac:dyDescent="0.2">
      <c r="B662" s="240"/>
      <c r="C662" s="240"/>
    </row>
    <row r="663" spans="2:3" ht="15.75" customHeight="1" x14ac:dyDescent="0.2">
      <c r="B663" s="240"/>
      <c r="C663" s="240"/>
    </row>
    <row r="664" spans="2:3" ht="15.75" customHeight="1" x14ac:dyDescent="0.2">
      <c r="B664" s="240"/>
      <c r="C664" s="240"/>
    </row>
    <row r="665" spans="2:3" ht="15.75" customHeight="1" x14ac:dyDescent="0.2">
      <c r="B665" s="240"/>
      <c r="C665" s="240"/>
    </row>
    <row r="666" spans="2:3" ht="15.75" customHeight="1" x14ac:dyDescent="0.2">
      <c r="B666" s="240"/>
      <c r="C666" s="240"/>
    </row>
    <row r="667" spans="2:3" ht="15.75" customHeight="1" x14ac:dyDescent="0.2">
      <c r="B667" s="240"/>
      <c r="C667" s="240"/>
    </row>
    <row r="668" spans="2:3" ht="15.75" customHeight="1" x14ac:dyDescent="0.2">
      <c r="B668" s="240"/>
      <c r="C668" s="240"/>
    </row>
    <row r="669" spans="2:3" ht="15.75" customHeight="1" x14ac:dyDescent="0.2">
      <c r="B669" s="240"/>
      <c r="C669" s="240"/>
    </row>
    <row r="670" spans="2:3" ht="15.75" customHeight="1" x14ac:dyDescent="0.2">
      <c r="B670" s="240"/>
      <c r="C670" s="240"/>
    </row>
    <row r="671" spans="2:3" ht="15.75" customHeight="1" x14ac:dyDescent="0.2">
      <c r="B671" s="240"/>
      <c r="C671" s="240"/>
    </row>
    <row r="672" spans="2:3" ht="15.75" customHeight="1" x14ac:dyDescent="0.2">
      <c r="B672" s="240"/>
      <c r="C672" s="240"/>
    </row>
    <row r="673" spans="2:3" ht="15.75" customHeight="1" x14ac:dyDescent="0.2">
      <c r="B673" s="240"/>
      <c r="C673" s="240"/>
    </row>
    <row r="674" spans="2:3" ht="15.75" customHeight="1" x14ac:dyDescent="0.2">
      <c r="B674" s="240"/>
      <c r="C674" s="240"/>
    </row>
    <row r="675" spans="2:3" ht="15.75" customHeight="1" x14ac:dyDescent="0.2">
      <c r="B675" s="240"/>
      <c r="C675" s="240"/>
    </row>
    <row r="676" spans="2:3" ht="15.75" customHeight="1" x14ac:dyDescent="0.2">
      <c r="B676" s="240"/>
      <c r="C676" s="240"/>
    </row>
    <row r="677" spans="2:3" ht="15.75" customHeight="1" x14ac:dyDescent="0.2">
      <c r="B677" s="240"/>
      <c r="C677" s="240"/>
    </row>
    <row r="678" spans="2:3" ht="15.75" customHeight="1" x14ac:dyDescent="0.2">
      <c r="B678" s="240"/>
      <c r="C678" s="240"/>
    </row>
    <row r="679" spans="2:3" ht="15.75" customHeight="1" x14ac:dyDescent="0.2">
      <c r="B679" s="240"/>
      <c r="C679" s="240"/>
    </row>
    <row r="680" spans="2:3" ht="15.75" customHeight="1" x14ac:dyDescent="0.2">
      <c r="B680" s="240"/>
      <c r="C680" s="240"/>
    </row>
    <row r="681" spans="2:3" ht="15.75" customHeight="1" x14ac:dyDescent="0.2">
      <c r="B681" s="240"/>
      <c r="C681" s="240"/>
    </row>
    <row r="682" spans="2:3" ht="15.75" customHeight="1" x14ac:dyDescent="0.2">
      <c r="B682" s="240"/>
      <c r="C682" s="240"/>
    </row>
    <row r="683" spans="2:3" ht="15.75" customHeight="1" x14ac:dyDescent="0.2">
      <c r="B683" s="240"/>
      <c r="C683" s="240"/>
    </row>
    <row r="684" spans="2:3" ht="15.75" customHeight="1" x14ac:dyDescent="0.2">
      <c r="B684" s="240"/>
      <c r="C684" s="240"/>
    </row>
    <row r="685" spans="2:3" ht="15.75" customHeight="1" x14ac:dyDescent="0.2">
      <c r="B685" s="240"/>
      <c r="C685" s="240"/>
    </row>
    <row r="686" spans="2:3" ht="15.75" customHeight="1" x14ac:dyDescent="0.2">
      <c r="B686" s="240"/>
      <c r="C686" s="240"/>
    </row>
    <row r="687" spans="2:3" ht="15.75" customHeight="1" x14ac:dyDescent="0.2">
      <c r="B687" s="240"/>
      <c r="C687" s="240"/>
    </row>
    <row r="688" spans="2:3" ht="15.75" customHeight="1" x14ac:dyDescent="0.2">
      <c r="B688" s="240"/>
      <c r="C688" s="240"/>
    </row>
    <row r="689" spans="2:3" ht="15.75" customHeight="1" x14ac:dyDescent="0.2">
      <c r="B689" s="240"/>
      <c r="C689" s="240"/>
    </row>
    <row r="690" spans="2:3" ht="15.75" customHeight="1" x14ac:dyDescent="0.2">
      <c r="B690" s="240"/>
      <c r="C690" s="240"/>
    </row>
    <row r="691" spans="2:3" ht="15.75" customHeight="1" x14ac:dyDescent="0.2">
      <c r="B691" s="240"/>
      <c r="C691" s="240"/>
    </row>
    <row r="692" spans="2:3" ht="15.75" customHeight="1" x14ac:dyDescent="0.2">
      <c r="B692" s="240"/>
      <c r="C692" s="240"/>
    </row>
    <row r="693" spans="2:3" ht="15.75" customHeight="1" x14ac:dyDescent="0.2">
      <c r="B693" s="240"/>
      <c r="C693" s="240"/>
    </row>
    <row r="694" spans="2:3" ht="15.75" customHeight="1" x14ac:dyDescent="0.2">
      <c r="B694" s="240"/>
      <c r="C694" s="240"/>
    </row>
    <row r="695" spans="2:3" ht="15.75" customHeight="1" x14ac:dyDescent="0.2">
      <c r="B695" s="240"/>
      <c r="C695" s="240"/>
    </row>
    <row r="696" spans="2:3" ht="15.75" customHeight="1" x14ac:dyDescent="0.2">
      <c r="B696" s="240"/>
      <c r="C696" s="240"/>
    </row>
    <row r="697" spans="2:3" ht="15.75" customHeight="1" x14ac:dyDescent="0.2">
      <c r="B697" s="240"/>
      <c r="C697" s="240"/>
    </row>
    <row r="698" spans="2:3" ht="15.75" customHeight="1" x14ac:dyDescent="0.2">
      <c r="B698" s="240"/>
      <c r="C698" s="240"/>
    </row>
    <row r="699" spans="2:3" ht="15.75" customHeight="1" x14ac:dyDescent="0.2">
      <c r="B699" s="240"/>
      <c r="C699" s="240"/>
    </row>
    <row r="700" spans="2:3" ht="15.75" customHeight="1" x14ac:dyDescent="0.2">
      <c r="B700" s="240"/>
      <c r="C700" s="240"/>
    </row>
    <row r="701" spans="2:3" ht="15.75" customHeight="1" x14ac:dyDescent="0.2">
      <c r="B701" s="240"/>
      <c r="C701" s="240"/>
    </row>
    <row r="702" spans="2:3" ht="15.75" customHeight="1" x14ac:dyDescent="0.2">
      <c r="B702" s="240"/>
      <c r="C702" s="240"/>
    </row>
    <row r="703" spans="2:3" ht="15.75" customHeight="1" x14ac:dyDescent="0.2">
      <c r="B703" s="240"/>
      <c r="C703" s="240"/>
    </row>
    <row r="704" spans="2:3" ht="15.75" customHeight="1" x14ac:dyDescent="0.2">
      <c r="B704" s="240"/>
      <c r="C704" s="240"/>
    </row>
    <row r="705" spans="2:3" ht="15.75" customHeight="1" x14ac:dyDescent="0.2">
      <c r="B705" s="240"/>
      <c r="C705" s="240"/>
    </row>
    <row r="706" spans="2:3" ht="15.75" customHeight="1" x14ac:dyDescent="0.2">
      <c r="B706" s="240"/>
      <c r="C706" s="240"/>
    </row>
    <row r="707" spans="2:3" ht="15.75" customHeight="1" x14ac:dyDescent="0.2">
      <c r="B707" s="240"/>
      <c r="C707" s="240"/>
    </row>
    <row r="708" spans="2:3" ht="15.75" customHeight="1" x14ac:dyDescent="0.2">
      <c r="B708" s="240"/>
      <c r="C708" s="240"/>
    </row>
    <row r="709" spans="2:3" ht="15.75" customHeight="1" x14ac:dyDescent="0.2">
      <c r="B709" s="240"/>
      <c r="C709" s="240"/>
    </row>
    <row r="710" spans="2:3" ht="15.75" customHeight="1" x14ac:dyDescent="0.2">
      <c r="B710" s="240"/>
      <c r="C710" s="240"/>
    </row>
    <row r="711" spans="2:3" ht="15.75" customHeight="1" x14ac:dyDescent="0.2">
      <c r="B711" s="240"/>
      <c r="C711" s="240"/>
    </row>
    <row r="712" spans="2:3" ht="15.75" customHeight="1" x14ac:dyDescent="0.2">
      <c r="B712" s="240"/>
      <c r="C712" s="240"/>
    </row>
    <row r="713" spans="2:3" ht="15.75" customHeight="1" x14ac:dyDescent="0.2">
      <c r="B713" s="240"/>
      <c r="C713" s="240"/>
    </row>
    <row r="714" spans="2:3" ht="15.75" customHeight="1" x14ac:dyDescent="0.2">
      <c r="B714" s="240"/>
      <c r="C714" s="240"/>
    </row>
    <row r="715" spans="2:3" ht="15.75" customHeight="1" x14ac:dyDescent="0.2">
      <c r="B715" s="240"/>
      <c r="C715" s="240"/>
    </row>
    <row r="716" spans="2:3" ht="15.75" customHeight="1" x14ac:dyDescent="0.2">
      <c r="B716" s="240"/>
      <c r="C716" s="240"/>
    </row>
    <row r="717" spans="2:3" ht="15.75" customHeight="1" x14ac:dyDescent="0.2">
      <c r="B717" s="240"/>
      <c r="C717" s="240"/>
    </row>
    <row r="718" spans="2:3" ht="15.75" customHeight="1" x14ac:dyDescent="0.2">
      <c r="B718" s="240"/>
      <c r="C718" s="240"/>
    </row>
    <row r="719" spans="2:3" ht="15.75" customHeight="1" x14ac:dyDescent="0.2">
      <c r="B719" s="240"/>
      <c r="C719" s="240"/>
    </row>
    <row r="720" spans="2:3" ht="15.75" customHeight="1" x14ac:dyDescent="0.2">
      <c r="B720" s="240"/>
      <c r="C720" s="240"/>
    </row>
    <row r="721" spans="2:3" ht="15.75" customHeight="1" x14ac:dyDescent="0.2">
      <c r="B721" s="240"/>
      <c r="C721" s="240"/>
    </row>
    <row r="722" spans="2:3" ht="15.75" customHeight="1" x14ac:dyDescent="0.2">
      <c r="B722" s="240"/>
      <c r="C722" s="240"/>
    </row>
    <row r="723" spans="2:3" ht="15.75" customHeight="1" x14ac:dyDescent="0.2">
      <c r="B723" s="240"/>
      <c r="C723" s="240"/>
    </row>
    <row r="724" spans="2:3" ht="15.75" customHeight="1" x14ac:dyDescent="0.2">
      <c r="B724" s="240"/>
      <c r="C724" s="240"/>
    </row>
    <row r="725" spans="2:3" ht="15.75" customHeight="1" x14ac:dyDescent="0.2">
      <c r="B725" s="240"/>
      <c r="C725" s="240"/>
    </row>
    <row r="726" spans="2:3" ht="15.75" customHeight="1" x14ac:dyDescent="0.2">
      <c r="B726" s="240"/>
      <c r="C726" s="240"/>
    </row>
    <row r="727" spans="2:3" ht="15.75" customHeight="1" x14ac:dyDescent="0.2">
      <c r="B727" s="240"/>
      <c r="C727" s="240"/>
    </row>
    <row r="728" spans="2:3" ht="15.75" customHeight="1" x14ac:dyDescent="0.2">
      <c r="B728" s="240"/>
      <c r="C728" s="240"/>
    </row>
    <row r="729" spans="2:3" ht="15.75" customHeight="1" x14ac:dyDescent="0.2">
      <c r="B729" s="240"/>
      <c r="C729" s="240"/>
    </row>
    <row r="730" spans="2:3" ht="15.75" customHeight="1" x14ac:dyDescent="0.2">
      <c r="B730" s="240"/>
      <c r="C730" s="240"/>
    </row>
    <row r="731" spans="2:3" ht="15.75" customHeight="1" x14ac:dyDescent="0.2">
      <c r="B731" s="240"/>
      <c r="C731" s="240"/>
    </row>
    <row r="732" spans="2:3" ht="15.75" customHeight="1" x14ac:dyDescent="0.2">
      <c r="B732" s="240"/>
      <c r="C732" s="240"/>
    </row>
    <row r="733" spans="2:3" ht="15.75" customHeight="1" x14ac:dyDescent="0.2">
      <c r="B733" s="240"/>
      <c r="C733" s="240"/>
    </row>
    <row r="734" spans="2:3" ht="15.75" customHeight="1" x14ac:dyDescent="0.2">
      <c r="B734" s="240"/>
      <c r="C734" s="240"/>
    </row>
    <row r="735" spans="2:3" ht="15.75" customHeight="1" x14ac:dyDescent="0.2">
      <c r="B735" s="240"/>
      <c r="C735" s="240"/>
    </row>
    <row r="736" spans="2:3" ht="15.75" customHeight="1" x14ac:dyDescent="0.2">
      <c r="B736" s="240"/>
      <c r="C736" s="240"/>
    </row>
    <row r="737" spans="2:3" ht="15.75" customHeight="1" x14ac:dyDescent="0.2">
      <c r="B737" s="240"/>
      <c r="C737" s="240"/>
    </row>
    <row r="738" spans="2:3" ht="15.75" customHeight="1" x14ac:dyDescent="0.2">
      <c r="B738" s="240"/>
      <c r="C738" s="240"/>
    </row>
    <row r="739" spans="2:3" ht="15.75" customHeight="1" x14ac:dyDescent="0.2">
      <c r="B739" s="240"/>
      <c r="C739" s="240"/>
    </row>
    <row r="740" spans="2:3" ht="15.75" customHeight="1" x14ac:dyDescent="0.2">
      <c r="B740" s="240"/>
      <c r="C740" s="240"/>
    </row>
    <row r="741" spans="2:3" ht="15.75" customHeight="1" x14ac:dyDescent="0.2">
      <c r="B741" s="240"/>
      <c r="C741" s="240"/>
    </row>
    <row r="742" spans="2:3" ht="15.75" customHeight="1" x14ac:dyDescent="0.2">
      <c r="B742" s="240"/>
      <c r="C742" s="240"/>
    </row>
    <row r="743" spans="2:3" ht="15.75" customHeight="1" x14ac:dyDescent="0.2">
      <c r="B743" s="240"/>
      <c r="C743" s="240"/>
    </row>
    <row r="744" spans="2:3" ht="15.75" customHeight="1" x14ac:dyDescent="0.2">
      <c r="B744" s="240"/>
      <c r="C744" s="240"/>
    </row>
    <row r="745" spans="2:3" ht="15.75" customHeight="1" x14ac:dyDescent="0.2">
      <c r="B745" s="240"/>
      <c r="C745" s="240"/>
    </row>
    <row r="746" spans="2:3" ht="15.75" customHeight="1" x14ac:dyDescent="0.2">
      <c r="B746" s="240"/>
      <c r="C746" s="240"/>
    </row>
    <row r="747" spans="2:3" ht="15.75" customHeight="1" x14ac:dyDescent="0.2">
      <c r="B747" s="240"/>
      <c r="C747" s="240"/>
    </row>
    <row r="748" spans="2:3" ht="15.75" customHeight="1" x14ac:dyDescent="0.2">
      <c r="B748" s="240"/>
      <c r="C748" s="240"/>
    </row>
    <row r="749" spans="2:3" ht="15.75" customHeight="1" x14ac:dyDescent="0.2">
      <c r="B749" s="240"/>
      <c r="C749" s="240"/>
    </row>
    <row r="750" spans="2:3" ht="15.75" customHeight="1" x14ac:dyDescent="0.2">
      <c r="B750" s="240"/>
      <c r="C750" s="240"/>
    </row>
    <row r="751" spans="2:3" ht="15.75" customHeight="1" x14ac:dyDescent="0.2">
      <c r="B751" s="240"/>
      <c r="C751" s="240"/>
    </row>
    <row r="752" spans="2:3" ht="15.75" customHeight="1" x14ac:dyDescent="0.2">
      <c r="B752" s="240"/>
      <c r="C752" s="240"/>
    </row>
    <row r="753" spans="2:3" ht="15.75" customHeight="1" x14ac:dyDescent="0.2">
      <c r="B753" s="240"/>
      <c r="C753" s="240"/>
    </row>
    <row r="754" spans="2:3" ht="15.75" customHeight="1" x14ac:dyDescent="0.2">
      <c r="B754" s="240"/>
      <c r="C754" s="240"/>
    </row>
    <row r="755" spans="2:3" ht="15.75" customHeight="1" x14ac:dyDescent="0.2">
      <c r="B755" s="240"/>
      <c r="C755" s="240"/>
    </row>
    <row r="756" spans="2:3" ht="15.75" customHeight="1" x14ac:dyDescent="0.2">
      <c r="B756" s="240"/>
      <c r="C756" s="240"/>
    </row>
    <row r="757" spans="2:3" ht="15.75" customHeight="1" x14ac:dyDescent="0.2">
      <c r="B757" s="240"/>
      <c r="C757" s="240"/>
    </row>
    <row r="758" spans="2:3" ht="15.75" customHeight="1" x14ac:dyDescent="0.2">
      <c r="B758" s="240"/>
      <c r="C758" s="240"/>
    </row>
    <row r="759" spans="2:3" ht="15.75" customHeight="1" x14ac:dyDescent="0.2">
      <c r="B759" s="240"/>
      <c r="C759" s="240"/>
    </row>
    <row r="760" spans="2:3" ht="15.75" customHeight="1" x14ac:dyDescent="0.2">
      <c r="B760" s="240"/>
      <c r="C760" s="240"/>
    </row>
    <row r="761" spans="2:3" ht="15.75" customHeight="1" x14ac:dyDescent="0.2">
      <c r="B761" s="240"/>
      <c r="C761" s="240"/>
    </row>
    <row r="762" spans="2:3" ht="15.75" customHeight="1" x14ac:dyDescent="0.2">
      <c r="B762" s="240"/>
      <c r="C762" s="240"/>
    </row>
    <row r="763" spans="2:3" ht="15.75" customHeight="1" x14ac:dyDescent="0.2">
      <c r="B763" s="240"/>
      <c r="C763" s="240"/>
    </row>
    <row r="764" spans="2:3" ht="15.75" customHeight="1" x14ac:dyDescent="0.2">
      <c r="B764" s="240"/>
      <c r="C764" s="240"/>
    </row>
    <row r="765" spans="2:3" ht="15.75" customHeight="1" x14ac:dyDescent="0.2">
      <c r="B765" s="240"/>
      <c r="C765" s="240"/>
    </row>
    <row r="766" spans="2:3" ht="15.75" customHeight="1" x14ac:dyDescent="0.2">
      <c r="B766" s="240"/>
      <c r="C766" s="240"/>
    </row>
    <row r="767" spans="2:3" ht="15.75" customHeight="1" x14ac:dyDescent="0.2">
      <c r="B767" s="240"/>
      <c r="C767" s="240"/>
    </row>
    <row r="768" spans="2:3" ht="15.75" customHeight="1" x14ac:dyDescent="0.2">
      <c r="B768" s="240"/>
      <c r="C768" s="240"/>
    </row>
    <row r="769" spans="2:3" ht="15.75" customHeight="1" x14ac:dyDescent="0.2">
      <c r="B769" s="240"/>
      <c r="C769" s="240"/>
    </row>
    <row r="770" spans="2:3" ht="15.75" customHeight="1" x14ac:dyDescent="0.2">
      <c r="B770" s="240"/>
      <c r="C770" s="240"/>
    </row>
    <row r="771" spans="2:3" ht="15.75" customHeight="1" x14ac:dyDescent="0.2">
      <c r="B771" s="240"/>
      <c r="C771" s="240"/>
    </row>
    <row r="772" spans="2:3" ht="15.75" customHeight="1" x14ac:dyDescent="0.2">
      <c r="B772" s="240"/>
      <c r="C772" s="240"/>
    </row>
    <row r="773" spans="2:3" ht="15.75" customHeight="1" x14ac:dyDescent="0.2">
      <c r="B773" s="240"/>
      <c r="C773" s="240"/>
    </row>
    <row r="774" spans="2:3" ht="15.75" customHeight="1" x14ac:dyDescent="0.2">
      <c r="B774" s="240"/>
      <c r="C774" s="240"/>
    </row>
    <row r="775" spans="2:3" ht="15.75" customHeight="1" x14ac:dyDescent="0.2">
      <c r="B775" s="240"/>
      <c r="C775" s="240"/>
    </row>
    <row r="776" spans="2:3" ht="15.75" customHeight="1" x14ac:dyDescent="0.2">
      <c r="B776" s="240"/>
      <c r="C776" s="240"/>
    </row>
    <row r="777" spans="2:3" ht="15.75" customHeight="1" x14ac:dyDescent="0.2">
      <c r="B777" s="240"/>
      <c r="C777" s="240"/>
    </row>
    <row r="778" spans="2:3" ht="15.75" customHeight="1" x14ac:dyDescent="0.2">
      <c r="B778" s="240"/>
      <c r="C778" s="240"/>
    </row>
    <row r="779" spans="2:3" ht="15.75" customHeight="1" x14ac:dyDescent="0.2">
      <c r="B779" s="240"/>
      <c r="C779" s="240"/>
    </row>
    <row r="780" spans="2:3" ht="15.75" customHeight="1" x14ac:dyDescent="0.2">
      <c r="B780" s="240"/>
      <c r="C780" s="240"/>
    </row>
    <row r="781" spans="2:3" ht="15.75" customHeight="1" x14ac:dyDescent="0.2">
      <c r="B781" s="240"/>
      <c r="C781" s="240"/>
    </row>
    <row r="782" spans="2:3" ht="15.75" customHeight="1" x14ac:dyDescent="0.2">
      <c r="B782" s="240"/>
      <c r="C782" s="240"/>
    </row>
    <row r="783" spans="2:3" ht="15.75" customHeight="1" x14ac:dyDescent="0.2">
      <c r="B783" s="240"/>
      <c r="C783" s="240"/>
    </row>
    <row r="784" spans="2:3" ht="15.75" customHeight="1" x14ac:dyDescent="0.2">
      <c r="B784" s="240"/>
      <c r="C784" s="240"/>
    </row>
    <row r="785" spans="2:3" ht="15.75" customHeight="1" x14ac:dyDescent="0.2">
      <c r="B785" s="240"/>
      <c r="C785" s="240"/>
    </row>
    <row r="786" spans="2:3" ht="15.75" customHeight="1" x14ac:dyDescent="0.2">
      <c r="B786" s="240"/>
      <c r="C786" s="240"/>
    </row>
    <row r="787" spans="2:3" ht="15.75" customHeight="1" x14ac:dyDescent="0.2">
      <c r="B787" s="240"/>
      <c r="C787" s="240"/>
    </row>
    <row r="788" spans="2:3" ht="15.75" customHeight="1" x14ac:dyDescent="0.2">
      <c r="B788" s="240"/>
      <c r="C788" s="240"/>
    </row>
    <row r="789" spans="2:3" ht="15.75" customHeight="1" x14ac:dyDescent="0.2">
      <c r="B789" s="240"/>
      <c r="C789" s="240"/>
    </row>
    <row r="790" spans="2:3" ht="15.75" customHeight="1" x14ac:dyDescent="0.2">
      <c r="B790" s="240"/>
      <c r="C790" s="240"/>
    </row>
    <row r="791" spans="2:3" ht="15.75" customHeight="1" x14ac:dyDescent="0.2">
      <c r="B791" s="240"/>
      <c r="C791" s="240"/>
    </row>
    <row r="792" spans="2:3" ht="15.75" customHeight="1" x14ac:dyDescent="0.2">
      <c r="B792" s="240"/>
      <c r="C792" s="240"/>
    </row>
    <row r="793" spans="2:3" ht="15.75" customHeight="1" x14ac:dyDescent="0.2">
      <c r="B793" s="240"/>
      <c r="C793" s="240"/>
    </row>
    <row r="794" spans="2:3" ht="15.75" customHeight="1" x14ac:dyDescent="0.2">
      <c r="B794" s="240"/>
      <c r="C794" s="240"/>
    </row>
    <row r="795" spans="2:3" ht="15.75" customHeight="1" x14ac:dyDescent="0.2">
      <c r="B795" s="240"/>
      <c r="C795" s="240"/>
    </row>
    <row r="796" spans="2:3" ht="15.75" customHeight="1" x14ac:dyDescent="0.2">
      <c r="B796" s="240"/>
      <c r="C796" s="240"/>
    </row>
    <row r="797" spans="2:3" ht="15.75" customHeight="1" x14ac:dyDescent="0.2">
      <c r="B797" s="240"/>
      <c r="C797" s="240"/>
    </row>
    <row r="798" spans="2:3" ht="15.75" customHeight="1" x14ac:dyDescent="0.2">
      <c r="B798" s="240"/>
      <c r="C798" s="240"/>
    </row>
    <row r="799" spans="2:3" ht="15.75" customHeight="1" x14ac:dyDescent="0.2">
      <c r="B799" s="240"/>
      <c r="C799" s="240"/>
    </row>
    <row r="800" spans="2:3" ht="15.75" customHeight="1" x14ac:dyDescent="0.2">
      <c r="B800" s="240"/>
      <c r="C800" s="240"/>
    </row>
    <row r="801" spans="2:3" ht="15.75" customHeight="1" x14ac:dyDescent="0.2">
      <c r="B801" s="240"/>
      <c r="C801" s="240"/>
    </row>
    <row r="802" spans="2:3" ht="15.75" customHeight="1" x14ac:dyDescent="0.2">
      <c r="B802" s="240"/>
      <c r="C802" s="240"/>
    </row>
    <row r="803" spans="2:3" ht="15.75" customHeight="1" x14ac:dyDescent="0.2">
      <c r="B803" s="240"/>
      <c r="C803" s="240"/>
    </row>
    <row r="804" spans="2:3" ht="15.75" customHeight="1" x14ac:dyDescent="0.2">
      <c r="B804" s="240"/>
      <c r="C804" s="240"/>
    </row>
    <row r="805" spans="2:3" ht="15.75" customHeight="1" x14ac:dyDescent="0.2">
      <c r="B805" s="240"/>
      <c r="C805" s="240"/>
    </row>
    <row r="806" spans="2:3" ht="15.75" customHeight="1" x14ac:dyDescent="0.2">
      <c r="B806" s="240"/>
      <c r="C806" s="240"/>
    </row>
    <row r="807" spans="2:3" ht="15.75" customHeight="1" x14ac:dyDescent="0.2">
      <c r="B807" s="240"/>
      <c r="C807" s="240"/>
    </row>
    <row r="808" spans="2:3" ht="15.75" customHeight="1" x14ac:dyDescent="0.2">
      <c r="B808" s="240"/>
      <c r="C808" s="240"/>
    </row>
    <row r="809" spans="2:3" ht="15.75" customHeight="1" x14ac:dyDescent="0.2">
      <c r="B809" s="240"/>
      <c r="C809" s="240"/>
    </row>
    <row r="810" spans="2:3" ht="15.75" customHeight="1" x14ac:dyDescent="0.2">
      <c r="B810" s="240"/>
      <c r="C810" s="240"/>
    </row>
    <row r="811" spans="2:3" ht="15.75" customHeight="1" x14ac:dyDescent="0.2">
      <c r="B811" s="240"/>
      <c r="C811" s="240"/>
    </row>
    <row r="812" spans="2:3" ht="15.75" customHeight="1" x14ac:dyDescent="0.2">
      <c r="B812" s="240"/>
      <c r="C812" s="240"/>
    </row>
    <row r="813" spans="2:3" ht="15.75" customHeight="1" x14ac:dyDescent="0.2">
      <c r="B813" s="240"/>
      <c r="C813" s="240"/>
    </row>
    <row r="814" spans="2:3" ht="15.75" customHeight="1" x14ac:dyDescent="0.2">
      <c r="B814" s="240"/>
      <c r="C814" s="240"/>
    </row>
    <row r="815" spans="2:3" ht="15.75" customHeight="1" x14ac:dyDescent="0.2">
      <c r="B815" s="240"/>
      <c r="C815" s="240"/>
    </row>
    <row r="816" spans="2:3" ht="15.75" customHeight="1" x14ac:dyDescent="0.2">
      <c r="B816" s="240"/>
      <c r="C816" s="240"/>
    </row>
    <row r="817" spans="2:3" ht="15.75" customHeight="1" x14ac:dyDescent="0.2">
      <c r="B817" s="240"/>
      <c r="C817" s="240"/>
    </row>
    <row r="818" spans="2:3" ht="15.75" customHeight="1" x14ac:dyDescent="0.2">
      <c r="B818" s="240"/>
      <c r="C818" s="240"/>
    </row>
    <row r="819" spans="2:3" ht="15.75" customHeight="1" x14ac:dyDescent="0.2">
      <c r="B819" s="240"/>
      <c r="C819" s="240"/>
    </row>
    <row r="820" spans="2:3" ht="15.75" customHeight="1" x14ac:dyDescent="0.2">
      <c r="B820" s="240"/>
      <c r="C820" s="240"/>
    </row>
    <row r="821" spans="2:3" ht="15.75" customHeight="1" x14ac:dyDescent="0.2">
      <c r="B821" s="240"/>
      <c r="C821" s="240"/>
    </row>
    <row r="822" spans="2:3" ht="15.75" customHeight="1" x14ac:dyDescent="0.2">
      <c r="B822" s="240"/>
      <c r="C822" s="240"/>
    </row>
    <row r="823" spans="2:3" ht="15.75" customHeight="1" x14ac:dyDescent="0.2">
      <c r="B823" s="240"/>
      <c r="C823" s="240"/>
    </row>
    <row r="824" spans="2:3" ht="15.75" customHeight="1" x14ac:dyDescent="0.2">
      <c r="B824" s="240"/>
      <c r="C824" s="240"/>
    </row>
    <row r="825" spans="2:3" ht="15.75" customHeight="1" x14ac:dyDescent="0.2">
      <c r="B825" s="240"/>
      <c r="C825" s="240"/>
    </row>
    <row r="826" spans="2:3" ht="15.75" customHeight="1" x14ac:dyDescent="0.2">
      <c r="B826" s="240"/>
      <c r="C826" s="240"/>
    </row>
    <row r="827" spans="2:3" ht="15.75" customHeight="1" x14ac:dyDescent="0.2">
      <c r="B827" s="240"/>
      <c r="C827" s="240"/>
    </row>
    <row r="828" spans="2:3" ht="15.75" customHeight="1" x14ac:dyDescent="0.2">
      <c r="B828" s="240"/>
      <c r="C828" s="240"/>
    </row>
    <row r="829" spans="2:3" ht="15.75" customHeight="1" x14ac:dyDescent="0.2">
      <c r="B829" s="240"/>
      <c r="C829" s="240"/>
    </row>
    <row r="830" spans="2:3" ht="15.75" customHeight="1" x14ac:dyDescent="0.2">
      <c r="B830" s="240"/>
      <c r="C830" s="240"/>
    </row>
    <row r="831" spans="2:3" ht="15.75" customHeight="1" x14ac:dyDescent="0.2">
      <c r="B831" s="240"/>
      <c r="C831" s="240"/>
    </row>
    <row r="832" spans="2:3" ht="15.75" customHeight="1" x14ac:dyDescent="0.2">
      <c r="B832" s="240"/>
      <c r="C832" s="240"/>
    </row>
    <row r="833" spans="2:3" ht="15.75" customHeight="1" x14ac:dyDescent="0.2">
      <c r="B833" s="240"/>
      <c r="C833" s="240"/>
    </row>
    <row r="834" spans="2:3" ht="15.75" customHeight="1" x14ac:dyDescent="0.2">
      <c r="B834" s="240"/>
      <c r="C834" s="240"/>
    </row>
    <row r="835" spans="2:3" ht="15.75" customHeight="1" x14ac:dyDescent="0.2">
      <c r="B835" s="240"/>
      <c r="C835" s="240"/>
    </row>
    <row r="836" spans="2:3" ht="15.75" customHeight="1" x14ac:dyDescent="0.2">
      <c r="B836" s="240"/>
      <c r="C836" s="240"/>
    </row>
    <row r="837" spans="2:3" ht="15.75" customHeight="1" x14ac:dyDescent="0.2">
      <c r="B837" s="240"/>
      <c r="C837" s="240"/>
    </row>
    <row r="838" spans="2:3" ht="15.75" customHeight="1" x14ac:dyDescent="0.2">
      <c r="B838" s="240"/>
      <c r="C838" s="240"/>
    </row>
    <row r="839" spans="2:3" ht="15.75" customHeight="1" x14ac:dyDescent="0.2">
      <c r="B839" s="240"/>
      <c r="C839" s="240"/>
    </row>
    <row r="840" spans="2:3" ht="15.75" customHeight="1" x14ac:dyDescent="0.2">
      <c r="B840" s="240"/>
      <c r="C840" s="240"/>
    </row>
    <row r="841" spans="2:3" ht="15.75" customHeight="1" x14ac:dyDescent="0.2">
      <c r="B841" s="240"/>
      <c r="C841" s="240"/>
    </row>
    <row r="842" spans="2:3" ht="15.75" customHeight="1" x14ac:dyDescent="0.2">
      <c r="B842" s="240"/>
      <c r="C842" s="240"/>
    </row>
    <row r="843" spans="2:3" ht="15.75" customHeight="1" x14ac:dyDescent="0.2">
      <c r="B843" s="240"/>
      <c r="C843" s="240"/>
    </row>
    <row r="844" spans="2:3" ht="15.75" customHeight="1" x14ac:dyDescent="0.2">
      <c r="B844" s="240"/>
      <c r="C844" s="240"/>
    </row>
    <row r="845" spans="2:3" ht="15.75" customHeight="1" x14ac:dyDescent="0.2">
      <c r="B845" s="240"/>
      <c r="C845" s="240"/>
    </row>
    <row r="846" spans="2:3" ht="15.75" customHeight="1" x14ac:dyDescent="0.2">
      <c r="B846" s="240"/>
      <c r="C846" s="240"/>
    </row>
    <row r="847" spans="2:3" ht="15.75" customHeight="1" x14ac:dyDescent="0.2">
      <c r="B847" s="240"/>
      <c r="C847" s="240"/>
    </row>
    <row r="848" spans="2:3" ht="15.75" customHeight="1" x14ac:dyDescent="0.2">
      <c r="B848" s="240"/>
      <c r="C848" s="240"/>
    </row>
    <row r="849" spans="2:3" ht="15.75" customHeight="1" x14ac:dyDescent="0.2">
      <c r="B849" s="240"/>
      <c r="C849" s="240"/>
    </row>
    <row r="850" spans="2:3" ht="15.75" customHeight="1" x14ac:dyDescent="0.2">
      <c r="B850" s="240"/>
      <c r="C850" s="240"/>
    </row>
    <row r="851" spans="2:3" ht="15.75" customHeight="1" x14ac:dyDescent="0.2">
      <c r="B851" s="240"/>
      <c r="C851" s="240"/>
    </row>
    <row r="852" spans="2:3" ht="15.75" customHeight="1" x14ac:dyDescent="0.2">
      <c r="B852" s="240"/>
      <c r="C852" s="240"/>
    </row>
    <row r="853" spans="2:3" ht="15.75" customHeight="1" x14ac:dyDescent="0.2">
      <c r="B853" s="240"/>
      <c r="C853" s="240"/>
    </row>
    <row r="854" spans="2:3" ht="15.75" customHeight="1" x14ac:dyDescent="0.2">
      <c r="B854" s="240"/>
      <c r="C854" s="240"/>
    </row>
    <row r="855" spans="2:3" ht="15.75" customHeight="1" x14ac:dyDescent="0.2">
      <c r="B855" s="240"/>
      <c r="C855" s="240"/>
    </row>
    <row r="856" spans="2:3" ht="15.75" customHeight="1" x14ac:dyDescent="0.2">
      <c r="B856" s="240"/>
      <c r="C856" s="240"/>
    </row>
    <row r="857" spans="2:3" ht="15.75" customHeight="1" x14ac:dyDescent="0.2">
      <c r="B857" s="240"/>
      <c r="C857" s="240"/>
    </row>
    <row r="858" spans="2:3" ht="15.75" customHeight="1" x14ac:dyDescent="0.2">
      <c r="B858" s="240"/>
      <c r="C858" s="240"/>
    </row>
    <row r="859" spans="2:3" ht="15.75" customHeight="1" x14ac:dyDescent="0.2">
      <c r="B859" s="240"/>
      <c r="C859" s="240"/>
    </row>
    <row r="860" spans="2:3" ht="15.75" customHeight="1" x14ac:dyDescent="0.2">
      <c r="B860" s="240"/>
      <c r="C860" s="240"/>
    </row>
    <row r="861" spans="2:3" ht="15.75" customHeight="1" x14ac:dyDescent="0.2">
      <c r="B861" s="240"/>
      <c r="C861" s="240"/>
    </row>
    <row r="862" spans="2:3" ht="15.75" customHeight="1" x14ac:dyDescent="0.2">
      <c r="B862" s="240"/>
      <c r="C862" s="240"/>
    </row>
    <row r="863" spans="2:3" ht="15.75" customHeight="1" x14ac:dyDescent="0.2">
      <c r="B863" s="240"/>
      <c r="C863" s="240"/>
    </row>
    <row r="864" spans="2:3" ht="15.75" customHeight="1" x14ac:dyDescent="0.2">
      <c r="B864" s="240"/>
      <c r="C864" s="240"/>
    </row>
    <row r="865" spans="2:3" ht="15.75" customHeight="1" x14ac:dyDescent="0.2">
      <c r="B865" s="240"/>
      <c r="C865" s="240"/>
    </row>
    <row r="866" spans="2:3" ht="15.75" customHeight="1" x14ac:dyDescent="0.2">
      <c r="B866" s="240"/>
      <c r="C866" s="240"/>
    </row>
    <row r="867" spans="2:3" ht="15.75" customHeight="1" x14ac:dyDescent="0.2">
      <c r="B867" s="240"/>
      <c r="C867" s="240"/>
    </row>
    <row r="868" spans="2:3" ht="15.75" customHeight="1" x14ac:dyDescent="0.2">
      <c r="B868" s="240"/>
      <c r="C868" s="240"/>
    </row>
    <row r="869" spans="2:3" ht="15.75" customHeight="1" x14ac:dyDescent="0.2">
      <c r="B869" s="240"/>
      <c r="C869" s="240"/>
    </row>
    <row r="870" spans="2:3" ht="15.75" customHeight="1" x14ac:dyDescent="0.2">
      <c r="B870" s="240"/>
      <c r="C870" s="240"/>
    </row>
    <row r="871" spans="2:3" ht="15.75" customHeight="1" x14ac:dyDescent="0.2">
      <c r="B871" s="240"/>
      <c r="C871" s="240"/>
    </row>
    <row r="872" spans="2:3" ht="15.75" customHeight="1" x14ac:dyDescent="0.2">
      <c r="B872" s="240"/>
      <c r="C872" s="240"/>
    </row>
    <row r="873" spans="2:3" ht="15.75" customHeight="1" x14ac:dyDescent="0.2">
      <c r="B873" s="240"/>
      <c r="C873" s="240"/>
    </row>
    <row r="874" spans="2:3" ht="15.75" customHeight="1" x14ac:dyDescent="0.2">
      <c r="B874" s="240"/>
      <c r="C874" s="240"/>
    </row>
    <row r="875" spans="2:3" ht="15.75" customHeight="1" x14ac:dyDescent="0.2">
      <c r="B875" s="240"/>
      <c r="C875" s="240"/>
    </row>
    <row r="876" spans="2:3" ht="15.75" customHeight="1" x14ac:dyDescent="0.2">
      <c r="B876" s="240"/>
      <c r="C876" s="240"/>
    </row>
    <row r="877" spans="2:3" ht="15.75" customHeight="1" x14ac:dyDescent="0.2">
      <c r="B877" s="240"/>
      <c r="C877" s="240"/>
    </row>
    <row r="878" spans="2:3" ht="15.75" customHeight="1" x14ac:dyDescent="0.2">
      <c r="B878" s="240"/>
      <c r="C878" s="240"/>
    </row>
    <row r="879" spans="2:3" ht="15.75" customHeight="1" x14ac:dyDescent="0.2">
      <c r="B879" s="240"/>
      <c r="C879" s="240"/>
    </row>
    <row r="880" spans="2:3" ht="15.75" customHeight="1" x14ac:dyDescent="0.2">
      <c r="B880" s="240"/>
      <c r="C880" s="240"/>
    </row>
    <row r="881" spans="2:3" ht="15.75" customHeight="1" x14ac:dyDescent="0.2">
      <c r="B881" s="240"/>
      <c r="C881" s="240"/>
    </row>
    <row r="882" spans="2:3" ht="15.75" customHeight="1" x14ac:dyDescent="0.2">
      <c r="B882" s="240"/>
      <c r="C882" s="240"/>
    </row>
    <row r="883" spans="2:3" ht="15.75" customHeight="1" x14ac:dyDescent="0.2">
      <c r="B883" s="240"/>
      <c r="C883" s="240"/>
    </row>
    <row r="884" spans="2:3" ht="15.75" customHeight="1" x14ac:dyDescent="0.2">
      <c r="B884" s="240"/>
      <c r="C884" s="240"/>
    </row>
    <row r="885" spans="2:3" ht="15.75" customHeight="1" x14ac:dyDescent="0.2">
      <c r="B885" s="240"/>
      <c r="C885" s="240"/>
    </row>
    <row r="886" spans="2:3" ht="15.75" customHeight="1" x14ac:dyDescent="0.2">
      <c r="B886" s="240"/>
      <c r="C886" s="240"/>
    </row>
    <row r="887" spans="2:3" ht="15.75" customHeight="1" x14ac:dyDescent="0.2">
      <c r="B887" s="240"/>
      <c r="C887" s="240"/>
    </row>
    <row r="888" spans="2:3" ht="15.75" customHeight="1" x14ac:dyDescent="0.2">
      <c r="B888" s="240"/>
      <c r="C888" s="240"/>
    </row>
    <row r="889" spans="2:3" ht="15.75" customHeight="1" x14ac:dyDescent="0.2">
      <c r="B889" s="240"/>
      <c r="C889" s="240"/>
    </row>
    <row r="890" spans="2:3" ht="15.75" customHeight="1" x14ac:dyDescent="0.2">
      <c r="B890" s="240"/>
      <c r="C890" s="240"/>
    </row>
    <row r="891" spans="2:3" ht="15.75" customHeight="1" x14ac:dyDescent="0.2">
      <c r="B891" s="240"/>
      <c r="C891" s="240"/>
    </row>
    <row r="892" spans="2:3" ht="15.75" customHeight="1" x14ac:dyDescent="0.2">
      <c r="B892" s="240"/>
      <c r="C892" s="240"/>
    </row>
    <row r="893" spans="2:3" ht="15.75" customHeight="1" x14ac:dyDescent="0.2">
      <c r="B893" s="240"/>
      <c r="C893" s="240"/>
    </row>
    <row r="894" spans="2:3" ht="15.75" customHeight="1" x14ac:dyDescent="0.2">
      <c r="B894" s="240"/>
      <c r="C894" s="240"/>
    </row>
    <row r="895" spans="2:3" ht="15.75" customHeight="1" x14ac:dyDescent="0.2">
      <c r="B895" s="240"/>
      <c r="C895" s="240"/>
    </row>
    <row r="896" spans="2:3" ht="15.75" customHeight="1" x14ac:dyDescent="0.2">
      <c r="B896" s="240"/>
      <c r="C896" s="240"/>
    </row>
    <row r="897" spans="2:3" ht="15.75" customHeight="1" x14ac:dyDescent="0.2">
      <c r="B897" s="240"/>
      <c r="C897" s="240"/>
    </row>
    <row r="898" spans="2:3" ht="15.75" customHeight="1" x14ac:dyDescent="0.2">
      <c r="B898" s="240"/>
      <c r="C898" s="240"/>
    </row>
    <row r="899" spans="2:3" ht="15.75" customHeight="1" x14ac:dyDescent="0.2">
      <c r="B899" s="240"/>
      <c r="C899" s="240"/>
    </row>
    <row r="900" spans="2:3" ht="15.75" customHeight="1" x14ac:dyDescent="0.2">
      <c r="B900" s="240"/>
      <c r="C900" s="240"/>
    </row>
    <row r="901" spans="2:3" ht="15.75" customHeight="1" x14ac:dyDescent="0.2">
      <c r="B901" s="240"/>
      <c r="C901" s="240"/>
    </row>
    <row r="902" spans="2:3" ht="15.75" customHeight="1" x14ac:dyDescent="0.2">
      <c r="B902" s="240"/>
      <c r="C902" s="240"/>
    </row>
    <row r="903" spans="2:3" ht="15.75" customHeight="1" x14ac:dyDescent="0.2">
      <c r="B903" s="240"/>
      <c r="C903" s="240"/>
    </row>
    <row r="904" spans="2:3" ht="15.75" customHeight="1" x14ac:dyDescent="0.2">
      <c r="B904" s="240"/>
      <c r="C904" s="240"/>
    </row>
    <row r="905" spans="2:3" ht="15.75" customHeight="1" x14ac:dyDescent="0.2">
      <c r="B905" s="240"/>
      <c r="C905" s="240"/>
    </row>
    <row r="906" spans="2:3" ht="15.75" customHeight="1" x14ac:dyDescent="0.2">
      <c r="B906" s="240"/>
      <c r="C906" s="240"/>
    </row>
    <row r="907" spans="2:3" ht="15.75" customHeight="1" x14ac:dyDescent="0.2">
      <c r="B907" s="240"/>
      <c r="C907" s="240"/>
    </row>
    <row r="908" spans="2:3" ht="15.75" customHeight="1" x14ac:dyDescent="0.2">
      <c r="B908" s="240"/>
      <c r="C908" s="240"/>
    </row>
    <row r="909" spans="2:3" ht="15.75" customHeight="1" x14ac:dyDescent="0.2">
      <c r="B909" s="240"/>
      <c r="C909" s="240"/>
    </row>
    <row r="910" spans="2:3" ht="15.75" customHeight="1" x14ac:dyDescent="0.2">
      <c r="B910" s="240"/>
      <c r="C910" s="240"/>
    </row>
    <row r="911" spans="2:3" ht="15.75" customHeight="1" x14ac:dyDescent="0.2">
      <c r="B911" s="240"/>
      <c r="C911" s="240"/>
    </row>
    <row r="912" spans="2:3" ht="15.75" customHeight="1" x14ac:dyDescent="0.2">
      <c r="B912" s="240"/>
      <c r="C912" s="240"/>
    </row>
    <row r="913" spans="2:3" ht="15.75" customHeight="1" x14ac:dyDescent="0.2">
      <c r="B913" s="240"/>
      <c r="C913" s="240"/>
    </row>
    <row r="914" spans="2:3" ht="15.75" customHeight="1" x14ac:dyDescent="0.2">
      <c r="B914" s="240"/>
      <c r="C914" s="240"/>
    </row>
    <row r="915" spans="2:3" ht="15.75" customHeight="1" x14ac:dyDescent="0.2">
      <c r="B915" s="240"/>
      <c r="C915" s="240"/>
    </row>
    <row r="916" spans="2:3" ht="15.75" customHeight="1" x14ac:dyDescent="0.2">
      <c r="B916" s="240"/>
      <c r="C916" s="240"/>
    </row>
    <row r="917" spans="2:3" ht="15.75" customHeight="1" x14ac:dyDescent="0.2">
      <c r="B917" s="240"/>
      <c r="C917" s="240"/>
    </row>
    <row r="918" spans="2:3" ht="15.75" customHeight="1" x14ac:dyDescent="0.2">
      <c r="B918" s="240"/>
      <c r="C918" s="240"/>
    </row>
    <row r="919" spans="2:3" ht="15.75" customHeight="1" x14ac:dyDescent="0.2">
      <c r="B919" s="240"/>
      <c r="C919" s="240"/>
    </row>
    <row r="920" spans="2:3" ht="15.75" customHeight="1" x14ac:dyDescent="0.2">
      <c r="B920" s="240"/>
      <c r="C920" s="240"/>
    </row>
    <row r="921" spans="2:3" ht="15.75" customHeight="1" x14ac:dyDescent="0.2">
      <c r="B921" s="240"/>
      <c r="C921" s="240"/>
    </row>
    <row r="922" spans="2:3" ht="15.75" customHeight="1" x14ac:dyDescent="0.2">
      <c r="B922" s="240"/>
      <c r="C922" s="240"/>
    </row>
    <row r="923" spans="2:3" ht="15.75" customHeight="1" x14ac:dyDescent="0.2">
      <c r="B923" s="240"/>
      <c r="C923" s="240"/>
    </row>
    <row r="924" spans="2:3" ht="15.75" customHeight="1" x14ac:dyDescent="0.2">
      <c r="B924" s="240"/>
      <c r="C924" s="240"/>
    </row>
    <row r="925" spans="2:3" ht="15.75" customHeight="1" x14ac:dyDescent="0.2">
      <c r="B925" s="240"/>
      <c r="C925" s="240"/>
    </row>
    <row r="926" spans="2:3" ht="15.75" customHeight="1" x14ac:dyDescent="0.2">
      <c r="B926" s="240"/>
      <c r="C926" s="240"/>
    </row>
    <row r="927" spans="2:3" ht="15.75" customHeight="1" x14ac:dyDescent="0.2">
      <c r="B927" s="240"/>
      <c r="C927" s="240"/>
    </row>
    <row r="928" spans="2:3" ht="15.75" customHeight="1" x14ac:dyDescent="0.2">
      <c r="B928" s="240"/>
      <c r="C928" s="240"/>
    </row>
    <row r="929" spans="2:3" ht="15.75" customHeight="1" x14ac:dyDescent="0.2">
      <c r="B929" s="240"/>
      <c r="C929" s="240"/>
    </row>
    <row r="930" spans="2:3" ht="15.75" customHeight="1" x14ac:dyDescent="0.2">
      <c r="B930" s="240"/>
      <c r="C930" s="240"/>
    </row>
    <row r="931" spans="2:3" ht="15.75" customHeight="1" x14ac:dyDescent="0.2">
      <c r="B931" s="240"/>
      <c r="C931" s="240"/>
    </row>
    <row r="932" spans="2:3" ht="15.75" customHeight="1" x14ac:dyDescent="0.2">
      <c r="B932" s="240"/>
      <c r="C932" s="240"/>
    </row>
    <row r="933" spans="2:3" ht="15.75" customHeight="1" x14ac:dyDescent="0.2">
      <c r="B933" s="240"/>
      <c r="C933" s="240"/>
    </row>
    <row r="934" spans="2:3" ht="15.75" customHeight="1" x14ac:dyDescent="0.2">
      <c r="B934" s="240"/>
      <c r="C934" s="240"/>
    </row>
    <row r="935" spans="2:3" ht="15.75" customHeight="1" x14ac:dyDescent="0.2">
      <c r="B935" s="240"/>
      <c r="C935" s="240"/>
    </row>
    <row r="936" spans="2:3" ht="15.75" customHeight="1" x14ac:dyDescent="0.2">
      <c r="B936" s="240"/>
      <c r="C936" s="240"/>
    </row>
    <row r="937" spans="2:3" ht="15.75" customHeight="1" x14ac:dyDescent="0.2">
      <c r="B937" s="240"/>
      <c r="C937" s="240"/>
    </row>
    <row r="938" spans="2:3" ht="15.75" customHeight="1" x14ac:dyDescent="0.2">
      <c r="B938" s="240"/>
      <c r="C938" s="240"/>
    </row>
    <row r="939" spans="2:3" ht="15.75" customHeight="1" x14ac:dyDescent="0.2">
      <c r="B939" s="240"/>
      <c r="C939" s="240"/>
    </row>
    <row r="940" spans="2:3" ht="15.75" customHeight="1" x14ac:dyDescent="0.2">
      <c r="B940" s="240"/>
      <c r="C940" s="240"/>
    </row>
    <row r="941" spans="2:3" ht="15.75" customHeight="1" x14ac:dyDescent="0.2">
      <c r="B941" s="240"/>
      <c r="C941" s="240"/>
    </row>
    <row r="942" spans="2:3" ht="15.75" customHeight="1" x14ac:dyDescent="0.2">
      <c r="B942" s="240"/>
      <c r="C942" s="240"/>
    </row>
    <row r="943" spans="2:3" ht="15.75" customHeight="1" x14ac:dyDescent="0.2">
      <c r="B943" s="240"/>
      <c r="C943" s="240"/>
    </row>
    <row r="944" spans="2:3" ht="15.75" customHeight="1" x14ac:dyDescent="0.2">
      <c r="B944" s="240"/>
      <c r="C944" s="240"/>
    </row>
    <row r="945" spans="2:3" ht="15.75" customHeight="1" x14ac:dyDescent="0.2">
      <c r="B945" s="240"/>
      <c r="C945" s="240"/>
    </row>
    <row r="946" spans="2:3" ht="15.75" customHeight="1" x14ac:dyDescent="0.2">
      <c r="B946" s="240"/>
      <c r="C946" s="240"/>
    </row>
    <row r="947" spans="2:3" ht="15.75" customHeight="1" x14ac:dyDescent="0.2">
      <c r="B947" s="240"/>
      <c r="C947" s="240"/>
    </row>
    <row r="948" spans="2:3" ht="15.75" customHeight="1" x14ac:dyDescent="0.2">
      <c r="B948" s="240"/>
      <c r="C948" s="240"/>
    </row>
    <row r="949" spans="2:3" ht="15.75" customHeight="1" x14ac:dyDescent="0.2">
      <c r="B949" s="240"/>
      <c r="C949" s="240"/>
    </row>
    <row r="950" spans="2:3" ht="15.75" customHeight="1" x14ac:dyDescent="0.2">
      <c r="B950" s="240"/>
      <c r="C950" s="240"/>
    </row>
    <row r="951" spans="2:3" ht="15.75" customHeight="1" x14ac:dyDescent="0.2">
      <c r="B951" s="240"/>
      <c r="C951" s="240"/>
    </row>
    <row r="952" spans="2:3" ht="15.75" customHeight="1" x14ac:dyDescent="0.2">
      <c r="B952" s="240"/>
      <c r="C952" s="240"/>
    </row>
    <row r="953" spans="2:3" ht="15.75" customHeight="1" x14ac:dyDescent="0.2">
      <c r="B953" s="240"/>
      <c r="C953" s="240"/>
    </row>
    <row r="954" spans="2:3" ht="15.75" customHeight="1" x14ac:dyDescent="0.2">
      <c r="B954" s="240"/>
      <c r="C954" s="240"/>
    </row>
    <row r="955" spans="2:3" ht="15.75" customHeight="1" x14ac:dyDescent="0.2">
      <c r="B955" s="240"/>
      <c r="C955" s="240"/>
    </row>
    <row r="956" spans="2:3" ht="15.75" customHeight="1" x14ac:dyDescent="0.2">
      <c r="B956" s="240"/>
      <c r="C956" s="240"/>
    </row>
    <row r="957" spans="2:3" ht="15.75" customHeight="1" x14ac:dyDescent="0.2">
      <c r="B957" s="240"/>
      <c r="C957" s="240"/>
    </row>
    <row r="958" spans="2:3" ht="15.75" customHeight="1" x14ac:dyDescent="0.2">
      <c r="B958" s="240"/>
      <c r="C958" s="240"/>
    </row>
    <row r="959" spans="2:3" ht="15.75" customHeight="1" x14ac:dyDescent="0.2">
      <c r="B959" s="240"/>
      <c r="C959" s="240"/>
    </row>
    <row r="960" spans="2:3" ht="15.75" customHeight="1" x14ac:dyDescent="0.2">
      <c r="B960" s="240"/>
      <c r="C960" s="240"/>
    </row>
    <row r="961" spans="2:3" ht="15.75" customHeight="1" x14ac:dyDescent="0.2">
      <c r="B961" s="240"/>
      <c r="C961" s="240"/>
    </row>
    <row r="962" spans="2:3" ht="15.75" customHeight="1" x14ac:dyDescent="0.2">
      <c r="B962" s="240"/>
      <c r="C962" s="240"/>
    </row>
    <row r="963" spans="2:3" ht="15.75" customHeight="1" x14ac:dyDescent="0.2">
      <c r="B963" s="240"/>
      <c r="C963" s="240"/>
    </row>
    <row r="964" spans="2:3" ht="15.75" customHeight="1" x14ac:dyDescent="0.2">
      <c r="B964" s="240"/>
      <c r="C964" s="240"/>
    </row>
    <row r="965" spans="2:3" ht="15.75" customHeight="1" x14ac:dyDescent="0.2">
      <c r="B965" s="240"/>
      <c r="C965" s="240"/>
    </row>
    <row r="966" spans="2:3" ht="15.75" customHeight="1" x14ac:dyDescent="0.2">
      <c r="B966" s="240"/>
      <c r="C966" s="240"/>
    </row>
    <row r="967" spans="2:3" ht="15.75" customHeight="1" x14ac:dyDescent="0.2">
      <c r="B967" s="240"/>
      <c r="C967" s="240"/>
    </row>
    <row r="968" spans="2:3" ht="15.75" customHeight="1" x14ac:dyDescent="0.2">
      <c r="B968" s="240"/>
      <c r="C968" s="240"/>
    </row>
    <row r="969" spans="2:3" ht="15.75" customHeight="1" x14ac:dyDescent="0.2">
      <c r="B969" s="240"/>
      <c r="C969" s="240"/>
    </row>
    <row r="970" spans="2:3" ht="15.75" customHeight="1" x14ac:dyDescent="0.2">
      <c r="B970" s="240"/>
      <c r="C970" s="240"/>
    </row>
    <row r="971" spans="2:3" ht="15.75" customHeight="1" x14ac:dyDescent="0.2">
      <c r="B971" s="240"/>
      <c r="C971" s="240"/>
    </row>
    <row r="972" spans="2:3" ht="15.75" customHeight="1" x14ac:dyDescent="0.2">
      <c r="B972" s="240"/>
      <c r="C972" s="240"/>
    </row>
    <row r="973" spans="2:3" ht="15.75" customHeight="1" x14ac:dyDescent="0.2">
      <c r="B973" s="240"/>
      <c r="C973" s="240"/>
    </row>
    <row r="974" spans="2:3" ht="15.75" customHeight="1" x14ac:dyDescent="0.2">
      <c r="B974" s="240"/>
      <c r="C974" s="240"/>
    </row>
    <row r="975" spans="2:3" ht="15.75" customHeight="1" x14ac:dyDescent="0.2">
      <c r="B975" s="240"/>
      <c r="C975" s="240"/>
    </row>
    <row r="976" spans="2:3" ht="15.75" customHeight="1" x14ac:dyDescent="0.2">
      <c r="B976" s="240"/>
      <c r="C976" s="240"/>
    </row>
    <row r="977" spans="2:3" ht="15.75" customHeight="1" x14ac:dyDescent="0.2">
      <c r="B977" s="240"/>
      <c r="C977" s="240"/>
    </row>
    <row r="978" spans="2:3" ht="15.75" customHeight="1" x14ac:dyDescent="0.2">
      <c r="B978" s="240"/>
      <c r="C978" s="240"/>
    </row>
    <row r="979" spans="2:3" ht="15.75" customHeight="1" x14ac:dyDescent="0.2">
      <c r="B979" s="240"/>
      <c r="C979" s="240"/>
    </row>
    <row r="980" spans="2:3" ht="15.75" customHeight="1" x14ac:dyDescent="0.2">
      <c r="B980" s="240"/>
      <c r="C980" s="240"/>
    </row>
    <row r="981" spans="2:3" ht="15.75" customHeight="1" x14ac:dyDescent="0.2">
      <c r="B981" s="240"/>
      <c r="C981" s="240"/>
    </row>
    <row r="982" spans="2:3" ht="15.75" customHeight="1" x14ac:dyDescent="0.2">
      <c r="B982" s="240"/>
      <c r="C982" s="240"/>
    </row>
    <row r="983" spans="2:3" ht="15.75" customHeight="1" x14ac:dyDescent="0.2">
      <c r="B983" s="240"/>
      <c r="C983" s="240"/>
    </row>
    <row r="984" spans="2:3" ht="15.75" customHeight="1" x14ac:dyDescent="0.2">
      <c r="B984" s="240"/>
      <c r="C984" s="240"/>
    </row>
    <row r="985" spans="2:3" ht="15.75" customHeight="1" x14ac:dyDescent="0.2">
      <c r="B985" s="240"/>
      <c r="C985" s="240"/>
    </row>
    <row r="986" spans="2:3" ht="15.75" customHeight="1" x14ac:dyDescent="0.2">
      <c r="B986" s="240"/>
      <c r="C986" s="240"/>
    </row>
    <row r="987" spans="2:3" ht="15.75" customHeight="1" x14ac:dyDescent="0.2">
      <c r="B987" s="240"/>
      <c r="C987" s="240"/>
    </row>
    <row r="988" spans="2:3" ht="15.75" customHeight="1" x14ac:dyDescent="0.2">
      <c r="B988" s="240"/>
      <c r="C988" s="240"/>
    </row>
    <row r="989" spans="2:3" ht="15.75" customHeight="1" x14ac:dyDescent="0.2">
      <c r="B989" s="240"/>
      <c r="C989" s="240"/>
    </row>
    <row r="990" spans="2:3" ht="15.75" customHeight="1" x14ac:dyDescent="0.2">
      <c r="B990" s="240"/>
      <c r="C990" s="240"/>
    </row>
    <row r="991" spans="2:3" ht="15.75" customHeight="1" x14ac:dyDescent="0.2">
      <c r="B991" s="240"/>
      <c r="C991" s="240"/>
    </row>
    <row r="992" spans="2:3" ht="15.75" customHeight="1" x14ac:dyDescent="0.2">
      <c r="B992" s="240"/>
      <c r="C992" s="240"/>
    </row>
    <row r="993" spans="2:3" ht="15.75" customHeight="1" x14ac:dyDescent="0.2">
      <c r="B993" s="240"/>
      <c r="C993" s="240"/>
    </row>
    <row r="994" spans="2:3" ht="15.75" customHeight="1" x14ac:dyDescent="0.2">
      <c r="B994" s="240"/>
      <c r="C994" s="240"/>
    </row>
    <row r="995" spans="2:3" ht="15.75" customHeight="1" x14ac:dyDescent="0.2">
      <c r="B995" s="240"/>
      <c r="C995" s="240"/>
    </row>
    <row r="996" spans="2:3" ht="15.75" customHeight="1" x14ac:dyDescent="0.2">
      <c r="B996" s="240"/>
      <c r="C996" s="240"/>
    </row>
    <row r="997" spans="2:3" ht="15.75" customHeight="1" x14ac:dyDescent="0.2">
      <c r="B997" s="240"/>
      <c r="C997" s="240"/>
    </row>
    <row r="998" spans="2:3" ht="15.75" customHeight="1" x14ac:dyDescent="0.2"/>
    <row r="999" spans="2:3" ht="15.75" customHeight="1" x14ac:dyDescent="0.2"/>
    <row r="1000" spans="2:3" ht="15.75" customHeight="1" x14ac:dyDescent="0.2"/>
  </sheetData>
  <autoFilter ref="E11:G114" xr:uid="{00000000-0009-0000-0000-00000C000000}"/>
  <mergeCells count="11">
    <mergeCell ref="I21:J21"/>
    <mergeCell ref="L21:N21"/>
    <mergeCell ref="I26:J26"/>
    <mergeCell ref="L26:N26"/>
    <mergeCell ref="L27:N27"/>
    <mergeCell ref="B2:N2"/>
    <mergeCell ref="B4:C4"/>
    <mergeCell ref="L4:M4"/>
    <mergeCell ref="I11:J11"/>
    <mergeCell ref="L11:N11"/>
    <mergeCell ref="L16:N16"/>
  </mergeCells>
  <conditionalFormatting sqref="F8">
    <cfRule type="cellIs" dxfId="9" priority="4" operator="greaterThan">
      <formula>300</formula>
    </cfRule>
    <cfRule type="cellIs" dxfId="8" priority="5" operator="between">
      <formula>1</formula>
      <formula>300</formula>
    </cfRule>
    <cfRule type="cellIs" dxfId="7" priority="6" operator="lessThan">
      <formula>0</formula>
    </cfRule>
  </conditionalFormatting>
  <conditionalFormatting sqref="J9">
    <cfRule type="cellIs" dxfId="6" priority="1" operator="greaterThan">
      <formula>300</formula>
    </cfRule>
    <cfRule type="cellIs" dxfId="5" priority="2" operator="between">
      <formula>1</formula>
      <formula>300</formula>
    </cfRule>
    <cfRule type="cellIs" dxfId="4" priority="3" operator="lessThan">
      <formula>0</formula>
    </cfRule>
  </conditionalFormatting>
  <printOptions horizontalCentered="1"/>
  <pageMargins left="0.4" right="0.4" top="0.4" bottom="0.4" header="0" footer="0"/>
  <pageSetup fitToHeight="0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A00C1A94-4DC2-4443-B28C-A8EA8D1ECB0A}">
          <x14:formula1>
            <xm:f>list!$A$1:$A$9</xm:f>
          </x14:formula1>
          <xm:sqref>G12:G264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F6A9-F137-4582-BEE3-30C1108430F7}">
  <sheetPr>
    <tabColor rgb="FF0070C0"/>
    <pageSetUpPr fitToPage="1"/>
  </sheetPr>
  <dimension ref="A1:W1000"/>
  <sheetViews>
    <sheetView showGridLines="0" zoomScale="85" zoomScaleNormal="85" workbookViewId="0">
      <selection activeCell="G99" sqref="G99"/>
    </sheetView>
  </sheetViews>
  <sheetFormatPr defaultColWidth="12.5703125" defaultRowHeight="15" customHeight="1" x14ac:dyDescent="0.2"/>
  <cols>
    <col min="1" max="1" width="13.85546875" style="240" customWidth="1"/>
    <col min="2" max="2" width="31.28515625" bestFit="1" customWidth="1"/>
    <col min="3" max="3" width="18.5703125" customWidth="1"/>
    <col min="4" max="4" width="3.5703125" style="244" customWidth="1"/>
    <col min="5" max="5" width="28" bestFit="1" customWidth="1"/>
    <col min="6" max="6" width="17.42578125" customWidth="1"/>
    <col min="7" max="7" width="22.7109375" bestFit="1" customWidth="1"/>
    <col min="8" max="8" width="3" style="244" customWidth="1"/>
    <col min="9" max="9" width="23.7109375" customWidth="1"/>
    <col min="10" max="10" width="19.42578125" customWidth="1"/>
    <col min="11" max="11" width="3" style="244" customWidth="1"/>
    <col min="12" max="12" width="17.85546875" bestFit="1" customWidth="1"/>
    <col min="13" max="13" width="16.42578125" bestFit="1" customWidth="1"/>
    <col min="14" max="14" width="11.5703125" bestFit="1" customWidth="1"/>
    <col min="15" max="15" width="115" style="240" customWidth="1"/>
    <col min="16" max="23" width="9.140625" customWidth="1"/>
    <col min="24" max="25" width="14.42578125" customWidth="1"/>
  </cols>
  <sheetData>
    <row r="1" spans="1:23" s="240" customFormat="1" ht="15" customHeight="1" thickBot="1" x14ac:dyDescent="0.25">
      <c r="A1" s="286"/>
      <c r="B1" s="295"/>
      <c r="C1" s="286"/>
      <c r="D1" s="296"/>
      <c r="E1" s="286"/>
      <c r="F1" s="286"/>
      <c r="G1" s="297"/>
      <c r="H1" s="296"/>
      <c r="I1" s="286"/>
      <c r="J1" s="286"/>
      <c r="K1" s="29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</row>
    <row r="2" spans="1:23" ht="37.5" customHeight="1" thickBot="1" x14ac:dyDescent="0.25">
      <c r="A2" s="287"/>
      <c r="B2" s="380" t="s">
        <v>199</v>
      </c>
      <c r="C2" s="381"/>
      <c r="D2" s="381"/>
      <c r="E2" s="381"/>
      <c r="F2" s="381"/>
      <c r="G2" s="381"/>
      <c r="H2" s="381"/>
      <c r="I2" s="381"/>
      <c r="J2" s="381"/>
      <c r="K2" s="381"/>
      <c r="L2" s="381"/>
      <c r="M2" s="381"/>
      <c r="N2" s="382"/>
      <c r="O2" s="306"/>
      <c r="P2" s="1"/>
      <c r="Q2" s="1"/>
      <c r="R2" s="1"/>
      <c r="S2" s="1"/>
      <c r="T2" s="1"/>
      <c r="U2" s="1"/>
      <c r="V2" s="1"/>
      <c r="W2" s="1"/>
    </row>
    <row r="3" spans="1:23" s="240" customFormat="1" ht="9" customHeight="1" thickBot="1" x14ac:dyDescent="0.25">
      <c r="A3" s="288"/>
      <c r="B3" s="298"/>
      <c r="C3" s="298"/>
      <c r="D3" s="299"/>
      <c r="E3" s="298"/>
      <c r="F3" s="298"/>
      <c r="G3" s="300"/>
      <c r="H3" s="299"/>
      <c r="I3" s="298"/>
      <c r="J3" s="298"/>
      <c r="K3" s="299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/>
    </row>
    <row r="4" spans="1:23" ht="24.75" customHeight="1" thickBot="1" x14ac:dyDescent="0.3">
      <c r="A4" s="288"/>
      <c r="B4" s="383" t="s">
        <v>59</v>
      </c>
      <c r="C4" s="384"/>
      <c r="E4" s="2" t="s">
        <v>43</v>
      </c>
      <c r="F4" s="2" t="s">
        <v>34</v>
      </c>
      <c r="G4" s="2" t="s">
        <v>127</v>
      </c>
      <c r="I4" s="2" t="s">
        <v>1</v>
      </c>
      <c r="J4" s="310"/>
      <c r="L4" s="385" t="s">
        <v>41</v>
      </c>
      <c r="M4" s="386"/>
      <c r="N4" s="269" t="s">
        <v>61</v>
      </c>
      <c r="Q4" s="71"/>
      <c r="S4" s="4"/>
      <c r="T4" s="4"/>
      <c r="U4" s="4"/>
      <c r="V4" s="4"/>
      <c r="W4" s="4"/>
    </row>
    <row r="5" spans="1:23" ht="23.25" customHeight="1" x14ac:dyDescent="0.2">
      <c r="A5" s="288"/>
      <c r="B5" s="56" t="s">
        <v>62</v>
      </c>
      <c r="C5" s="60">
        <f>3396.69-420</f>
        <v>2976.69</v>
      </c>
      <c r="E5" s="249" t="s">
        <v>63</v>
      </c>
      <c r="F5" s="252">
        <f>SUM(C12:C21)</f>
        <v>988.46</v>
      </c>
      <c r="G5" s="274">
        <f>(F5/C9)*1</f>
        <v>0.1757865365360915</v>
      </c>
      <c r="I5" s="262" t="s">
        <v>9</v>
      </c>
      <c r="J5" s="263">
        <v>32577.82</v>
      </c>
      <c r="L5" s="266">
        <v>3.56E-2</v>
      </c>
      <c r="M5" s="74">
        <v>66.09</v>
      </c>
      <c r="N5" s="75">
        <v>0</v>
      </c>
      <c r="Q5" s="71"/>
      <c r="S5" s="4"/>
      <c r="T5" s="4"/>
      <c r="U5" s="4"/>
      <c r="V5" s="4"/>
      <c r="W5" s="4"/>
    </row>
    <row r="6" spans="1:23" ht="23.25" customHeight="1" x14ac:dyDescent="0.2">
      <c r="A6" s="288"/>
      <c r="B6" s="57" t="s">
        <v>64</v>
      </c>
      <c r="C6" s="61">
        <v>1650.31</v>
      </c>
      <c r="E6" s="250" t="s">
        <v>65</v>
      </c>
      <c r="F6" s="253">
        <f>SUM(F12:F200)</f>
        <v>4634.6099999999988</v>
      </c>
      <c r="G6" s="275">
        <f>(F6/C9)*1</f>
        <v>0.82421346346390834</v>
      </c>
      <c r="I6" s="264" t="s">
        <v>10</v>
      </c>
      <c r="J6" s="265">
        <v>10046.66</v>
      </c>
      <c r="L6" s="267">
        <v>3.56E-2</v>
      </c>
      <c r="M6" s="76">
        <v>17.54</v>
      </c>
      <c r="N6" s="77">
        <v>0</v>
      </c>
      <c r="Q6" s="71"/>
      <c r="S6" s="4"/>
      <c r="T6" s="4"/>
      <c r="U6" s="4"/>
      <c r="V6" s="4"/>
      <c r="W6" s="4"/>
    </row>
    <row r="7" spans="1:23" ht="23.25" customHeight="1" thickBot="1" x14ac:dyDescent="0.25">
      <c r="A7" s="288"/>
      <c r="B7" s="58" t="s">
        <v>66</v>
      </c>
      <c r="C7" s="62">
        <f>173.2*2</f>
        <v>346.4</v>
      </c>
      <c r="E7" s="251" t="s">
        <v>67</v>
      </c>
      <c r="F7" s="254">
        <f>SUM(J22:J24)</f>
        <v>0</v>
      </c>
      <c r="G7" s="276">
        <f>(F7/C9)*1</f>
        <v>0</v>
      </c>
      <c r="I7" s="264" t="s">
        <v>11</v>
      </c>
      <c r="J7" s="265">
        <v>5018.53</v>
      </c>
      <c r="L7" s="267">
        <v>5.1200000000000002E-2</v>
      </c>
      <c r="M7" s="76">
        <v>22.7</v>
      </c>
      <c r="N7" s="77">
        <v>0</v>
      </c>
      <c r="Q7" s="71"/>
      <c r="S7" s="4"/>
      <c r="T7" s="4"/>
      <c r="U7" s="4"/>
      <c r="V7" s="4"/>
      <c r="W7" s="4"/>
    </row>
    <row r="8" spans="1:23" ht="23.25" customHeight="1" thickBot="1" x14ac:dyDescent="0.25">
      <c r="A8" s="288"/>
      <c r="B8" s="59" t="s">
        <v>68</v>
      </c>
      <c r="C8" s="63">
        <f>513.61+86.06+50</f>
        <v>649.67000000000007</v>
      </c>
      <c r="E8" s="258" t="s">
        <v>7</v>
      </c>
      <c r="F8" s="255">
        <f>(C9-(F5+F6))</f>
        <v>9.0949470177292824E-13</v>
      </c>
      <c r="G8" s="273" t="s">
        <v>130</v>
      </c>
      <c r="I8" s="264" t="s">
        <v>205</v>
      </c>
      <c r="J8" s="265">
        <v>300</v>
      </c>
      <c r="L8" s="268">
        <v>4.3299999999999998E-2</v>
      </c>
      <c r="M8" s="78">
        <v>0.55000000000000004</v>
      </c>
      <c r="N8" s="79">
        <v>0</v>
      </c>
      <c r="S8" s="4"/>
      <c r="T8" s="4"/>
      <c r="U8" s="4"/>
      <c r="V8" s="4"/>
      <c r="W8" s="4"/>
    </row>
    <row r="9" spans="1:23" ht="26.25" customHeight="1" thickBot="1" x14ac:dyDescent="0.25">
      <c r="A9" s="288"/>
      <c r="B9" s="256" t="s">
        <v>126</v>
      </c>
      <c r="C9" s="257">
        <f>SUM(C5:C8)</f>
        <v>5623.07</v>
      </c>
      <c r="E9" s="271" t="s">
        <v>92</v>
      </c>
      <c r="F9" s="272"/>
      <c r="G9" s="270"/>
      <c r="I9" s="259" t="s">
        <v>7</v>
      </c>
      <c r="J9" s="260">
        <f>SUM(J5:J8)</f>
        <v>47943.009999999995</v>
      </c>
      <c r="L9" s="50" t="s">
        <v>34</v>
      </c>
      <c r="M9" s="73">
        <f>SUM(M5:M8)</f>
        <v>106.88</v>
      </c>
      <c r="N9" s="80">
        <f>SUM(N5:N8)</f>
        <v>0</v>
      </c>
      <c r="S9" s="4"/>
      <c r="T9" s="4"/>
      <c r="U9" s="4"/>
      <c r="V9" s="4"/>
      <c r="W9" s="4"/>
    </row>
    <row r="10" spans="1:23" s="240" customFormat="1" ht="9" customHeight="1" thickBot="1" x14ac:dyDescent="0.25">
      <c r="A10" s="288"/>
      <c r="B10" s="301"/>
      <c r="C10" s="301"/>
      <c r="D10" s="244"/>
      <c r="E10" s="298"/>
      <c r="F10" s="298"/>
      <c r="G10" s="300"/>
      <c r="H10" s="244"/>
      <c r="I10" s="298"/>
      <c r="J10" s="298"/>
      <c r="K10" s="244"/>
      <c r="L10" s="298"/>
      <c r="M10" s="298"/>
      <c r="N10" s="298"/>
      <c r="O10" s="298"/>
      <c r="P10" s="298"/>
      <c r="Q10" s="298"/>
      <c r="R10" s="298"/>
      <c r="S10" s="298"/>
      <c r="T10" s="298"/>
      <c r="U10" s="298"/>
      <c r="V10" s="298"/>
      <c r="W10" s="298"/>
    </row>
    <row r="11" spans="1:23" ht="22.5" customHeight="1" thickBot="1" x14ac:dyDescent="0.25">
      <c r="A11" s="289"/>
      <c r="B11" s="261" t="s">
        <v>70</v>
      </c>
      <c r="C11" s="53" t="s">
        <v>71</v>
      </c>
      <c r="D11" s="316" t="s">
        <v>131</v>
      </c>
      <c r="E11" s="333" t="s">
        <v>72</v>
      </c>
      <c r="F11" s="334" t="s">
        <v>71</v>
      </c>
      <c r="G11" s="335" t="s">
        <v>73</v>
      </c>
      <c r="H11" s="248"/>
      <c r="I11" s="387" t="s">
        <v>3</v>
      </c>
      <c r="J11" s="388"/>
      <c r="K11" s="248"/>
      <c r="L11" s="377" t="s">
        <v>74</v>
      </c>
      <c r="M11" s="378"/>
      <c r="N11" s="379"/>
      <c r="O11" s="307"/>
      <c r="P11" s="4"/>
      <c r="Q11" s="4"/>
      <c r="R11" s="4"/>
      <c r="S11" s="4"/>
      <c r="T11" s="4"/>
      <c r="U11" s="4"/>
      <c r="V11" s="4"/>
      <c r="W11" s="4"/>
    </row>
    <row r="12" spans="1:23" s="278" customFormat="1" ht="22.5" customHeight="1" x14ac:dyDescent="0.2">
      <c r="A12" s="290">
        <v>1</v>
      </c>
      <c r="B12" s="37" t="s">
        <v>12</v>
      </c>
      <c r="C12" s="349">
        <v>708.05</v>
      </c>
      <c r="D12" s="134">
        <v>2</v>
      </c>
      <c r="E12" s="199" t="s">
        <v>202</v>
      </c>
      <c r="F12" s="200">
        <v>50</v>
      </c>
      <c r="G12" s="201" t="s">
        <v>18</v>
      </c>
      <c r="H12" s="302"/>
      <c r="I12" s="323" t="s">
        <v>13</v>
      </c>
      <c r="J12" s="324">
        <f>SUMIF(G:G, "Groceries", F:F)</f>
        <v>386.86</v>
      </c>
      <c r="K12" s="302"/>
      <c r="L12" s="108" t="s">
        <v>81</v>
      </c>
      <c r="M12" s="109" t="s">
        <v>84</v>
      </c>
      <c r="N12" s="110" t="s">
        <v>85</v>
      </c>
      <c r="O12" s="308"/>
      <c r="P12" s="277"/>
      <c r="Q12" s="277"/>
      <c r="R12" s="277"/>
      <c r="S12" s="277"/>
      <c r="T12" s="277"/>
      <c r="U12" s="277"/>
      <c r="V12" s="277"/>
      <c r="W12" s="277"/>
    </row>
    <row r="13" spans="1:23" s="278" customFormat="1" ht="22.5" customHeight="1" x14ac:dyDescent="0.2">
      <c r="A13" s="290">
        <v>3</v>
      </c>
      <c r="B13" s="38" t="s">
        <v>138</v>
      </c>
      <c r="C13" s="348">
        <v>15.1</v>
      </c>
      <c r="D13" s="134">
        <v>2</v>
      </c>
      <c r="E13" s="180" t="s">
        <v>203</v>
      </c>
      <c r="F13" s="202">
        <v>35</v>
      </c>
      <c r="G13" s="203" t="s">
        <v>18</v>
      </c>
      <c r="H13" s="302"/>
      <c r="I13" s="325" t="s">
        <v>128</v>
      </c>
      <c r="J13" s="326">
        <f>SUMIF(G:G, "Leisure / Days out", F:F)</f>
        <v>383.53</v>
      </c>
      <c r="K13" s="302"/>
      <c r="L13" s="108" t="s">
        <v>82</v>
      </c>
      <c r="M13" s="111">
        <v>1.1599999999999999</v>
      </c>
      <c r="N13" s="112">
        <v>1.1599999999999999</v>
      </c>
      <c r="O13" s="308"/>
      <c r="P13" s="277"/>
      <c r="Q13" s="277"/>
      <c r="R13" s="277"/>
      <c r="S13" s="277"/>
      <c r="T13" s="277"/>
      <c r="U13" s="277"/>
      <c r="V13" s="277"/>
      <c r="W13" s="277"/>
    </row>
    <row r="14" spans="1:23" s="278" customFormat="1" ht="22.5" customHeight="1" thickBot="1" x14ac:dyDescent="0.25">
      <c r="A14" s="290">
        <v>3</v>
      </c>
      <c r="B14" s="40" t="s">
        <v>139</v>
      </c>
      <c r="C14" s="350">
        <v>17.059999999999999</v>
      </c>
      <c r="D14" s="135">
        <v>1</v>
      </c>
      <c r="E14" s="179" t="s">
        <v>160</v>
      </c>
      <c r="F14" s="204">
        <v>44.68</v>
      </c>
      <c r="G14" s="205" t="s">
        <v>18</v>
      </c>
      <c r="H14" s="302"/>
      <c r="I14" s="325" t="s">
        <v>18</v>
      </c>
      <c r="J14" s="326">
        <f>SUMIF(G:G, "Others (Not essential)", F:F)</f>
        <v>3081.2199999999984</v>
      </c>
      <c r="K14" s="302"/>
      <c r="L14" s="113" t="s">
        <v>83</v>
      </c>
      <c r="M14" s="144">
        <v>5</v>
      </c>
      <c r="N14" s="115">
        <v>5.12</v>
      </c>
      <c r="O14" s="308"/>
      <c r="P14" s="277"/>
      <c r="Q14" s="277"/>
      <c r="R14" s="277"/>
      <c r="S14" s="277"/>
      <c r="T14" s="277"/>
      <c r="U14" s="277"/>
      <c r="V14" s="277"/>
      <c r="W14" s="277"/>
    </row>
    <row r="15" spans="1:23" s="278" customFormat="1" ht="22.5" customHeight="1" thickBot="1" x14ac:dyDescent="0.25">
      <c r="A15" s="290">
        <v>7</v>
      </c>
      <c r="B15" s="38" t="s">
        <v>136</v>
      </c>
      <c r="C15" s="348">
        <v>115.33</v>
      </c>
      <c r="D15" s="135">
        <v>1</v>
      </c>
      <c r="E15" s="180" t="s">
        <v>159</v>
      </c>
      <c r="F15" s="202">
        <v>31.5</v>
      </c>
      <c r="G15" s="203" t="s">
        <v>18</v>
      </c>
      <c r="H15" s="302"/>
      <c r="I15" s="325" t="s">
        <v>20</v>
      </c>
      <c r="J15" s="326">
        <f>SUMIF(G:G, "Others (Essential)", F:F)</f>
        <v>372.05</v>
      </c>
      <c r="K15" s="302"/>
      <c r="L15" s="246"/>
      <c r="M15" s="246"/>
      <c r="N15" s="308"/>
      <c r="O15" s="308"/>
      <c r="P15" s="277"/>
      <c r="Q15" s="277"/>
      <c r="R15" s="277"/>
      <c r="S15" s="277"/>
      <c r="T15" s="277"/>
      <c r="U15" s="277"/>
      <c r="V15" s="277"/>
      <c r="W15" s="277"/>
    </row>
    <row r="16" spans="1:23" s="278" customFormat="1" ht="22.5" customHeight="1" x14ac:dyDescent="0.2">
      <c r="A16" s="291">
        <v>11</v>
      </c>
      <c r="B16" s="40" t="s">
        <v>135</v>
      </c>
      <c r="C16" s="363">
        <v>0</v>
      </c>
      <c r="D16" s="364">
        <v>1</v>
      </c>
      <c r="E16" s="179" t="s">
        <v>196</v>
      </c>
      <c r="F16" s="204">
        <v>70</v>
      </c>
      <c r="G16" s="205" t="s">
        <v>18</v>
      </c>
      <c r="H16" s="302"/>
      <c r="I16" s="325" t="s">
        <v>22</v>
      </c>
      <c r="J16" s="326">
        <f>SUMIF(G:G, "Holidays", F:F)</f>
        <v>0</v>
      </c>
      <c r="K16" s="302"/>
      <c r="L16" s="377" t="s">
        <v>129</v>
      </c>
      <c r="M16" s="378"/>
      <c r="N16" s="379"/>
      <c r="O16" s="308"/>
      <c r="P16" s="277"/>
      <c r="Q16" s="277"/>
      <c r="R16" s="277"/>
      <c r="S16" s="277"/>
      <c r="T16" s="277"/>
      <c r="U16" s="277"/>
      <c r="V16" s="277"/>
      <c r="W16" s="277"/>
    </row>
    <row r="17" spans="1:23" s="278" customFormat="1" ht="22.5" customHeight="1" x14ac:dyDescent="0.2">
      <c r="A17" s="290">
        <v>17</v>
      </c>
      <c r="B17" s="38" t="s">
        <v>31</v>
      </c>
      <c r="C17" s="348">
        <v>21.94</v>
      </c>
      <c r="D17" s="135">
        <v>1</v>
      </c>
      <c r="E17" s="180" t="s">
        <v>196</v>
      </c>
      <c r="F17" s="202">
        <v>105</v>
      </c>
      <c r="G17" s="203" t="s">
        <v>18</v>
      </c>
      <c r="H17" s="302"/>
      <c r="I17" s="325" t="s">
        <v>25</v>
      </c>
      <c r="J17" s="326">
        <f>SUMIF(G:G, "Clothing", F:F)</f>
        <v>119.94999999999999</v>
      </c>
      <c r="K17" s="302"/>
      <c r="L17" s="108" t="s">
        <v>81</v>
      </c>
      <c r="M17" s="109" t="s">
        <v>84</v>
      </c>
      <c r="N17" s="110" t="s">
        <v>85</v>
      </c>
      <c r="O17" s="308"/>
      <c r="P17" s="277"/>
      <c r="Q17" s="277"/>
      <c r="R17" s="277"/>
      <c r="S17" s="277"/>
      <c r="T17" s="277"/>
      <c r="U17" s="277"/>
      <c r="V17" s="277"/>
      <c r="W17" s="277"/>
    </row>
    <row r="18" spans="1:23" s="278" customFormat="1" ht="22.5" customHeight="1" x14ac:dyDescent="0.2">
      <c r="A18" s="290">
        <v>22</v>
      </c>
      <c r="B18" s="40" t="s">
        <v>137</v>
      </c>
      <c r="C18" s="363">
        <v>66</v>
      </c>
      <c r="D18" s="134">
        <v>1</v>
      </c>
      <c r="E18" s="179" t="s">
        <v>204</v>
      </c>
      <c r="F18" s="204">
        <v>56.97</v>
      </c>
      <c r="G18" s="205" t="s">
        <v>25</v>
      </c>
      <c r="H18" s="302"/>
      <c r="I18" s="325" t="s">
        <v>1</v>
      </c>
      <c r="J18" s="326">
        <f>SUMIF(G:G, "Savings", F:F)</f>
        <v>50</v>
      </c>
      <c r="K18" s="302"/>
      <c r="L18" s="108" t="s">
        <v>87</v>
      </c>
      <c r="M18" s="145">
        <v>3.5</v>
      </c>
      <c r="N18" s="112">
        <v>3.56</v>
      </c>
      <c r="O18" s="308"/>
      <c r="P18" s="277"/>
      <c r="Q18" s="277"/>
      <c r="R18" s="277"/>
      <c r="S18" s="277"/>
      <c r="T18" s="277"/>
      <c r="U18" s="277"/>
      <c r="V18" s="277"/>
      <c r="W18" s="277"/>
    </row>
    <row r="19" spans="1:23" s="278" customFormat="1" ht="22.5" customHeight="1" thickBot="1" x14ac:dyDescent="0.25">
      <c r="A19" s="290">
        <v>24</v>
      </c>
      <c r="B19" s="38" t="s">
        <v>33</v>
      </c>
      <c r="C19" s="362">
        <f>22.49+22.49</f>
        <v>44.98</v>
      </c>
      <c r="D19" s="346">
        <v>1</v>
      </c>
      <c r="E19" s="180" t="s">
        <v>206</v>
      </c>
      <c r="F19" s="202">
        <v>1667</v>
      </c>
      <c r="G19" s="203" t="s">
        <v>18</v>
      </c>
      <c r="H19" s="302"/>
      <c r="I19" s="327" t="s">
        <v>29</v>
      </c>
      <c r="J19" s="328">
        <f>SUMIF(G:G, "Overpayment", F:F)</f>
        <v>241</v>
      </c>
      <c r="K19" s="302"/>
      <c r="L19" s="113" t="s">
        <v>88</v>
      </c>
      <c r="M19" s="114">
        <v>1.1499999999999999</v>
      </c>
      <c r="N19" s="115">
        <v>1.1599999999999999</v>
      </c>
      <c r="O19" s="308"/>
      <c r="P19" s="277"/>
      <c r="Q19" s="277"/>
      <c r="R19" s="277"/>
      <c r="S19" s="277"/>
      <c r="T19" s="277"/>
      <c r="U19" s="277"/>
      <c r="V19" s="277"/>
      <c r="W19" s="277"/>
    </row>
    <row r="20" spans="1:23" s="278" customFormat="1" ht="22.5" customHeight="1" thickBot="1" x14ac:dyDescent="0.25">
      <c r="A20" s="291"/>
      <c r="B20" s="40"/>
      <c r="C20" s="41"/>
      <c r="D20" s="134">
        <v>4</v>
      </c>
      <c r="E20" s="179" t="s">
        <v>207</v>
      </c>
      <c r="F20" s="204">
        <v>5</v>
      </c>
      <c r="G20" s="205" t="s">
        <v>18</v>
      </c>
      <c r="H20" s="302"/>
      <c r="I20" s="308"/>
      <c r="J20" s="308"/>
      <c r="K20" s="302"/>
      <c r="L20" s="308"/>
      <c r="M20" s="308"/>
      <c r="N20" s="308"/>
      <c r="O20" s="308"/>
      <c r="P20" s="277"/>
      <c r="Q20" s="277"/>
      <c r="R20" s="277"/>
      <c r="S20" s="277"/>
      <c r="T20" s="277"/>
      <c r="U20" s="277"/>
      <c r="V20" s="277"/>
      <c r="W20" s="277"/>
    </row>
    <row r="21" spans="1:23" s="278" customFormat="1" ht="22.5" customHeight="1" thickBot="1" x14ac:dyDescent="0.25">
      <c r="A21" s="292"/>
      <c r="B21" s="38"/>
      <c r="C21" s="39"/>
      <c r="D21" s="134">
        <v>4</v>
      </c>
      <c r="E21" s="180" t="s">
        <v>148</v>
      </c>
      <c r="F21" s="202">
        <v>9.18</v>
      </c>
      <c r="G21" s="203" t="s">
        <v>18</v>
      </c>
      <c r="H21" s="302"/>
      <c r="I21" s="389" t="s">
        <v>89</v>
      </c>
      <c r="J21" s="390"/>
      <c r="K21" s="302"/>
      <c r="L21" s="377" t="s">
        <v>86</v>
      </c>
      <c r="M21" s="378"/>
      <c r="N21" s="379"/>
      <c r="O21" s="308"/>
      <c r="P21" s="277"/>
      <c r="Q21" s="277"/>
      <c r="R21" s="277"/>
      <c r="S21" s="277"/>
      <c r="T21" s="277"/>
      <c r="U21" s="277"/>
      <c r="V21" s="277"/>
      <c r="W21" s="277"/>
    </row>
    <row r="22" spans="1:23" s="278" customFormat="1" ht="22.5" customHeight="1" x14ac:dyDescent="0.2">
      <c r="A22" s="292"/>
      <c r="B22" s="40"/>
      <c r="C22" s="41"/>
      <c r="D22" s="134">
        <v>4</v>
      </c>
      <c r="E22" s="179" t="s">
        <v>143</v>
      </c>
      <c r="F22" s="204">
        <v>30</v>
      </c>
      <c r="G22" s="205" t="s">
        <v>18</v>
      </c>
      <c r="H22" s="302"/>
      <c r="I22" s="279"/>
      <c r="J22" s="280"/>
      <c r="K22" s="302"/>
      <c r="L22" s="108" t="s">
        <v>81</v>
      </c>
      <c r="M22" s="109" t="s">
        <v>84</v>
      </c>
      <c r="N22" s="110" t="s">
        <v>85</v>
      </c>
      <c r="O22" s="308"/>
      <c r="P22" s="277"/>
      <c r="Q22" s="277"/>
      <c r="R22" s="277"/>
      <c r="S22" s="277"/>
      <c r="T22" s="277"/>
      <c r="U22" s="277"/>
      <c r="V22" s="277"/>
      <c r="W22" s="277"/>
    </row>
    <row r="23" spans="1:23" s="278" customFormat="1" ht="22.5" customHeight="1" thickBot="1" x14ac:dyDescent="0.25">
      <c r="A23" s="292"/>
      <c r="B23" s="42"/>
      <c r="C23" s="43"/>
      <c r="D23" s="134">
        <v>4</v>
      </c>
      <c r="E23" s="180" t="s">
        <v>208</v>
      </c>
      <c r="F23" s="202">
        <v>79.31</v>
      </c>
      <c r="G23" s="203" t="s">
        <v>128</v>
      </c>
      <c r="H23" s="302"/>
      <c r="I23" s="281"/>
      <c r="J23" s="282"/>
      <c r="K23" s="302"/>
      <c r="L23" s="108" t="s">
        <v>87</v>
      </c>
      <c r="M23" s="145">
        <v>3.5</v>
      </c>
      <c r="N23" s="112">
        <v>3.56</v>
      </c>
      <c r="O23" s="308"/>
      <c r="P23" s="277"/>
      <c r="Q23" s="277"/>
      <c r="R23" s="277"/>
      <c r="S23" s="277"/>
      <c r="T23" s="277"/>
      <c r="U23" s="277"/>
      <c r="V23" s="277"/>
      <c r="W23" s="277"/>
    </row>
    <row r="24" spans="1:23" s="278" customFormat="1" ht="22.5" customHeight="1" thickBot="1" x14ac:dyDescent="0.25">
      <c r="A24" s="292"/>
      <c r="B24" s="311"/>
      <c r="C24" s="317" t="s">
        <v>60</v>
      </c>
      <c r="D24" s="134">
        <v>4</v>
      </c>
      <c r="E24" s="179" t="s">
        <v>146</v>
      </c>
      <c r="F24" s="204">
        <v>2.5</v>
      </c>
      <c r="G24" s="205" t="s">
        <v>18</v>
      </c>
      <c r="H24" s="302"/>
      <c r="I24" s="283"/>
      <c r="J24" s="284"/>
      <c r="K24" s="302"/>
      <c r="L24" s="113" t="s">
        <v>88</v>
      </c>
      <c r="M24" s="114">
        <v>1.1499999999999999</v>
      </c>
      <c r="N24" s="115">
        <v>1.1599999999999999</v>
      </c>
      <c r="O24" s="308"/>
      <c r="P24" s="277"/>
      <c r="Q24" s="277"/>
      <c r="R24" s="277"/>
      <c r="S24" s="277"/>
      <c r="T24" s="277"/>
      <c r="U24" s="277"/>
      <c r="V24" s="277"/>
      <c r="W24" s="277"/>
    </row>
    <row r="25" spans="1:23" s="278" customFormat="1" ht="22.5" customHeight="1" thickBot="1" x14ac:dyDescent="0.25">
      <c r="A25" s="293"/>
      <c r="B25" s="317" t="s">
        <v>132</v>
      </c>
      <c r="C25" s="319">
        <v>1500</v>
      </c>
      <c r="D25" s="134">
        <v>6</v>
      </c>
      <c r="E25" s="180" t="s">
        <v>144</v>
      </c>
      <c r="F25" s="202">
        <v>20.47</v>
      </c>
      <c r="G25" s="203" t="s">
        <v>18</v>
      </c>
      <c r="H25" s="302"/>
      <c r="I25" s="246"/>
      <c r="J25" s="246"/>
      <c r="K25" s="302"/>
      <c r="L25" s="246"/>
      <c r="M25" s="246"/>
      <c r="N25" s="246"/>
      <c r="O25" s="308"/>
      <c r="P25" s="277"/>
      <c r="Q25" s="277"/>
      <c r="R25" s="277"/>
      <c r="S25" s="277"/>
      <c r="T25" s="277"/>
      <c r="U25" s="277"/>
      <c r="V25" s="277"/>
      <c r="W25" s="277"/>
    </row>
    <row r="26" spans="1:23" s="278" customFormat="1" ht="22.5" customHeight="1" thickBot="1" x14ac:dyDescent="0.25">
      <c r="A26" s="294"/>
      <c r="B26" s="318" t="s">
        <v>133</v>
      </c>
      <c r="C26" s="320">
        <v>1500</v>
      </c>
      <c r="D26" s="134">
        <v>6</v>
      </c>
      <c r="E26" s="179" t="s">
        <v>177</v>
      </c>
      <c r="F26" s="204">
        <v>31.54</v>
      </c>
      <c r="G26" s="205" t="s">
        <v>13</v>
      </c>
      <c r="H26" s="302"/>
      <c r="I26" s="389" t="s">
        <v>95</v>
      </c>
      <c r="J26" s="390"/>
      <c r="K26" s="302"/>
      <c r="L26" s="377" t="s">
        <v>182</v>
      </c>
      <c r="M26" s="378"/>
      <c r="N26" s="379"/>
      <c r="O26" s="308"/>
      <c r="P26" s="277"/>
      <c r="Q26" s="277"/>
      <c r="R26" s="277"/>
      <c r="S26" s="277"/>
      <c r="T26" s="277"/>
      <c r="U26" s="277"/>
      <c r="V26" s="277"/>
      <c r="W26" s="277"/>
    </row>
    <row r="27" spans="1:23" s="278" customFormat="1" ht="22.5" customHeight="1" thickBot="1" x14ac:dyDescent="0.25">
      <c r="A27" s="246"/>
      <c r="B27" s="317" t="s">
        <v>134</v>
      </c>
      <c r="C27" s="319">
        <v>848</v>
      </c>
      <c r="D27" s="134">
        <v>9</v>
      </c>
      <c r="E27" s="180" t="s">
        <v>209</v>
      </c>
      <c r="F27" s="202">
        <v>74.98</v>
      </c>
      <c r="G27" s="203" t="s">
        <v>18</v>
      </c>
      <c r="H27" s="302"/>
      <c r="I27" s="279"/>
      <c r="J27" s="280"/>
      <c r="K27" s="302"/>
      <c r="L27" s="391">
        <v>4.3299999999999998E-2</v>
      </c>
      <c r="M27" s="392"/>
      <c r="N27" s="393"/>
      <c r="O27" s="309"/>
      <c r="P27" s="285"/>
      <c r="Q27" s="285"/>
      <c r="R27" s="285"/>
      <c r="S27" s="285"/>
      <c r="T27" s="285"/>
      <c r="U27" s="285"/>
      <c r="V27" s="285"/>
      <c r="W27" s="285"/>
    </row>
    <row r="28" spans="1:23" s="278" customFormat="1" ht="22.5" customHeight="1" x14ac:dyDescent="0.2">
      <c r="A28" s="246"/>
      <c r="B28" s="246"/>
      <c r="C28" s="246"/>
      <c r="D28" s="134">
        <v>9</v>
      </c>
      <c r="E28" s="179" t="s">
        <v>176</v>
      </c>
      <c r="F28" s="204">
        <v>3.3</v>
      </c>
      <c r="G28" s="205" t="s">
        <v>18</v>
      </c>
      <c r="H28" s="302"/>
      <c r="I28" s="281"/>
      <c r="J28" s="282"/>
      <c r="K28" s="302"/>
      <c r="L28" s="240"/>
      <c r="M28" s="240"/>
      <c r="N28" s="240"/>
      <c r="O28" s="240"/>
      <c r="P28" s="285"/>
      <c r="Q28" s="285"/>
      <c r="R28" s="285"/>
      <c r="S28" s="285"/>
      <c r="T28" s="285"/>
      <c r="U28" s="285"/>
      <c r="V28" s="285"/>
      <c r="W28" s="285"/>
    </row>
    <row r="29" spans="1:23" s="278" customFormat="1" ht="22.5" customHeight="1" thickBot="1" x14ac:dyDescent="0.25">
      <c r="A29" s="294"/>
      <c r="B29" s="246"/>
      <c r="C29" s="246"/>
      <c r="D29" s="134">
        <v>9</v>
      </c>
      <c r="E29" s="180" t="s">
        <v>210</v>
      </c>
      <c r="F29" s="202">
        <v>14.95</v>
      </c>
      <c r="G29" s="203" t="s">
        <v>128</v>
      </c>
      <c r="H29" s="302"/>
      <c r="I29" s="283"/>
      <c r="J29" s="284"/>
      <c r="K29" s="302"/>
      <c r="L29" s="240"/>
      <c r="M29" s="240"/>
      <c r="N29" s="240"/>
      <c r="O29" s="240"/>
      <c r="P29" s="285"/>
      <c r="Q29" s="285"/>
      <c r="R29" s="285"/>
      <c r="S29" s="285"/>
      <c r="T29" s="285"/>
      <c r="U29" s="285"/>
      <c r="V29" s="285"/>
      <c r="W29" s="285"/>
    </row>
    <row r="30" spans="1:23" s="278" customFormat="1" ht="22.5" customHeight="1" x14ac:dyDescent="0.2">
      <c r="A30" s="294"/>
      <c r="B30" s="246"/>
      <c r="C30" s="246"/>
      <c r="D30" s="134">
        <v>9</v>
      </c>
      <c r="E30" s="179" t="s">
        <v>153</v>
      </c>
      <c r="F30" s="204">
        <v>8.99</v>
      </c>
      <c r="G30" s="205" t="s">
        <v>128</v>
      </c>
      <c r="H30" s="302"/>
      <c r="I30" s="246"/>
      <c r="J30" s="246"/>
      <c r="K30" s="302"/>
      <c r="L30" s="240"/>
      <c r="M30" s="240"/>
      <c r="N30" s="240"/>
      <c r="O30" s="240"/>
      <c r="P30" s="285"/>
      <c r="Q30" s="285"/>
      <c r="R30" s="285"/>
      <c r="S30" s="285"/>
      <c r="T30" s="285"/>
      <c r="U30" s="285"/>
      <c r="V30" s="285"/>
      <c r="W30" s="285"/>
    </row>
    <row r="31" spans="1:23" s="278" customFormat="1" ht="22.5" customHeight="1" x14ac:dyDescent="0.2">
      <c r="A31" s="294"/>
      <c r="B31" s="312"/>
      <c r="C31" s="313"/>
      <c r="D31" s="134">
        <v>9</v>
      </c>
      <c r="E31" s="180" t="s">
        <v>172</v>
      </c>
      <c r="F31" s="202">
        <v>84.48</v>
      </c>
      <c r="G31" s="203" t="s">
        <v>13</v>
      </c>
      <c r="H31" s="302"/>
      <c r="I31" s="246"/>
      <c r="J31" s="246"/>
      <c r="K31" s="302"/>
      <c r="L31" s="309"/>
      <c r="M31" s="309"/>
      <c r="N31" s="309"/>
      <c r="O31" s="309"/>
      <c r="P31" s="285"/>
      <c r="Q31" s="285"/>
      <c r="R31" s="285"/>
      <c r="S31" s="285"/>
      <c r="T31" s="285"/>
      <c r="U31" s="285"/>
      <c r="V31" s="285"/>
      <c r="W31" s="285"/>
    </row>
    <row r="32" spans="1:23" s="278" customFormat="1" ht="22.5" customHeight="1" x14ac:dyDescent="0.2">
      <c r="A32" s="294"/>
      <c r="B32" s="312"/>
      <c r="C32" s="314"/>
      <c r="D32" s="134">
        <v>9</v>
      </c>
      <c r="E32" s="179" t="s">
        <v>201</v>
      </c>
      <c r="F32" s="204">
        <v>9.34</v>
      </c>
      <c r="G32" s="205" t="s">
        <v>18</v>
      </c>
      <c r="H32" s="302"/>
      <c r="I32" s="246"/>
      <c r="J32" s="246"/>
      <c r="K32" s="302"/>
      <c r="L32" s="309"/>
      <c r="M32" s="309"/>
      <c r="N32" s="309"/>
      <c r="O32" s="309"/>
      <c r="P32" s="285"/>
      <c r="Q32" s="285"/>
      <c r="R32" s="285"/>
      <c r="S32" s="285"/>
      <c r="T32" s="285"/>
      <c r="U32" s="285"/>
      <c r="V32" s="285"/>
      <c r="W32" s="285"/>
    </row>
    <row r="33" spans="1:23" s="278" customFormat="1" ht="22.5" customHeight="1" x14ac:dyDescent="0.2">
      <c r="A33" s="294"/>
      <c r="B33" s="246"/>
      <c r="C33" s="315"/>
      <c r="D33" s="134">
        <v>9</v>
      </c>
      <c r="E33" s="180" t="s">
        <v>211</v>
      </c>
      <c r="F33" s="202">
        <v>14.65</v>
      </c>
      <c r="G33" s="203" t="s">
        <v>18</v>
      </c>
      <c r="H33" s="302"/>
      <c r="I33" s="246"/>
      <c r="J33" s="246"/>
      <c r="K33" s="302"/>
      <c r="L33" s="309"/>
      <c r="M33" s="309"/>
      <c r="N33" s="309"/>
      <c r="O33" s="309"/>
      <c r="P33" s="285"/>
      <c r="Q33" s="285"/>
      <c r="R33" s="285"/>
      <c r="S33" s="285"/>
      <c r="T33" s="285"/>
      <c r="U33" s="285"/>
      <c r="V33" s="285"/>
      <c r="W33" s="285"/>
    </row>
    <row r="34" spans="1:23" s="278" customFormat="1" ht="22.5" customHeight="1" x14ac:dyDescent="0.2">
      <c r="A34" s="294"/>
      <c r="B34" s="309"/>
      <c r="C34" s="309"/>
      <c r="D34" s="134">
        <v>11</v>
      </c>
      <c r="E34" s="179" t="s">
        <v>212</v>
      </c>
      <c r="F34" s="204">
        <v>9.99</v>
      </c>
      <c r="G34" s="205" t="s">
        <v>128</v>
      </c>
      <c r="H34" s="302"/>
      <c r="I34" s="246"/>
      <c r="J34" s="246"/>
      <c r="K34" s="302"/>
      <c r="L34" s="309"/>
      <c r="M34" s="309"/>
      <c r="N34" s="309"/>
      <c r="O34" s="309"/>
      <c r="P34" s="285"/>
      <c r="Q34" s="285"/>
      <c r="R34" s="285"/>
      <c r="S34" s="285"/>
      <c r="T34" s="285"/>
      <c r="U34" s="285"/>
      <c r="V34" s="285"/>
      <c r="W34" s="285"/>
    </row>
    <row r="35" spans="1:23" s="278" customFormat="1" ht="22.5" customHeight="1" x14ac:dyDescent="0.2">
      <c r="A35" s="294"/>
      <c r="B35" s="309"/>
      <c r="C35" s="309"/>
      <c r="D35" s="134">
        <v>13</v>
      </c>
      <c r="E35" s="180" t="s">
        <v>213</v>
      </c>
      <c r="F35" s="202">
        <v>276.05</v>
      </c>
      <c r="G35" s="203" t="s">
        <v>20</v>
      </c>
      <c r="H35" s="302"/>
      <c r="I35" s="246"/>
      <c r="J35" s="246"/>
      <c r="K35" s="302"/>
      <c r="L35" s="309"/>
      <c r="M35" s="309"/>
      <c r="N35" s="309"/>
      <c r="O35" s="309"/>
      <c r="P35" s="285"/>
      <c r="Q35" s="285"/>
      <c r="R35" s="285"/>
      <c r="S35" s="285"/>
      <c r="T35" s="285"/>
      <c r="U35" s="285"/>
      <c r="V35" s="285"/>
      <c r="W35" s="285"/>
    </row>
    <row r="36" spans="1:23" s="278" customFormat="1" ht="22.5" customHeight="1" x14ac:dyDescent="0.2">
      <c r="A36" s="294"/>
      <c r="B36" s="309"/>
      <c r="C36" s="309"/>
      <c r="D36" s="134">
        <v>13</v>
      </c>
      <c r="E36" s="179" t="s">
        <v>144</v>
      </c>
      <c r="F36" s="204">
        <v>11.65</v>
      </c>
      <c r="G36" s="205" t="s">
        <v>18</v>
      </c>
      <c r="H36" s="302"/>
      <c r="I36" s="246"/>
      <c r="J36" s="246"/>
      <c r="K36" s="302"/>
      <c r="L36" s="309"/>
      <c r="M36" s="309"/>
      <c r="N36" s="309"/>
      <c r="O36" s="309"/>
      <c r="P36" s="285"/>
      <c r="Q36" s="285"/>
      <c r="R36" s="285"/>
      <c r="S36" s="285"/>
      <c r="T36" s="285"/>
      <c r="U36" s="285"/>
      <c r="V36" s="285"/>
      <c r="W36" s="285"/>
    </row>
    <row r="37" spans="1:23" s="278" customFormat="1" ht="22.5" customHeight="1" x14ac:dyDescent="0.2">
      <c r="A37" s="294"/>
      <c r="B37" s="309"/>
      <c r="C37" s="309"/>
      <c r="D37" s="134">
        <v>13</v>
      </c>
      <c r="E37" s="180" t="s">
        <v>144</v>
      </c>
      <c r="F37" s="202">
        <v>9.49</v>
      </c>
      <c r="G37" s="203" t="s">
        <v>18</v>
      </c>
      <c r="H37" s="302"/>
      <c r="I37" s="246"/>
      <c r="J37" s="246"/>
      <c r="K37" s="302"/>
      <c r="L37" s="309"/>
      <c r="M37" s="309"/>
      <c r="N37" s="309"/>
      <c r="O37" s="309"/>
      <c r="P37" s="285"/>
      <c r="Q37" s="285"/>
      <c r="R37" s="285"/>
      <c r="S37" s="285"/>
      <c r="T37" s="285"/>
      <c r="U37" s="285"/>
      <c r="V37" s="285"/>
      <c r="W37" s="285"/>
    </row>
    <row r="38" spans="1:23" s="278" customFormat="1" ht="22.5" customHeight="1" x14ac:dyDescent="0.2">
      <c r="A38" s="294"/>
      <c r="B38" s="309"/>
      <c r="C38" s="309"/>
      <c r="D38" s="346">
        <v>12</v>
      </c>
      <c r="E38" s="179" t="s">
        <v>165</v>
      </c>
      <c r="F38" s="204">
        <v>11.01</v>
      </c>
      <c r="G38" s="205" t="s">
        <v>18</v>
      </c>
      <c r="H38" s="302"/>
      <c r="I38" s="246"/>
      <c r="J38" s="246"/>
      <c r="K38" s="302"/>
      <c r="L38" s="309"/>
      <c r="M38" s="309"/>
      <c r="N38" s="309"/>
      <c r="O38" s="309"/>
      <c r="P38" s="285"/>
      <c r="Q38" s="285"/>
      <c r="R38" s="285"/>
      <c r="S38" s="285"/>
      <c r="T38" s="285"/>
      <c r="U38" s="285"/>
      <c r="V38" s="285"/>
      <c r="W38" s="285"/>
    </row>
    <row r="39" spans="1:23" s="278" customFormat="1" ht="22.5" customHeight="1" x14ac:dyDescent="0.2">
      <c r="A39" s="294"/>
      <c r="B39" s="309"/>
      <c r="C39" s="309"/>
      <c r="D39" s="135">
        <v>3</v>
      </c>
      <c r="E39" s="180" t="s">
        <v>207</v>
      </c>
      <c r="F39" s="202">
        <v>5</v>
      </c>
      <c r="G39" s="203" t="s">
        <v>18</v>
      </c>
      <c r="H39" s="302"/>
      <c r="I39" s="246"/>
      <c r="J39" s="246"/>
      <c r="K39" s="302"/>
      <c r="L39" s="309"/>
      <c r="M39" s="309"/>
      <c r="N39" s="309"/>
      <c r="O39" s="309"/>
      <c r="P39" s="285"/>
      <c r="Q39" s="285"/>
      <c r="R39" s="285"/>
      <c r="S39" s="285"/>
      <c r="T39" s="285"/>
      <c r="U39" s="285"/>
      <c r="V39" s="285"/>
      <c r="W39" s="285"/>
    </row>
    <row r="40" spans="1:23" s="278" customFormat="1" ht="22.5" customHeight="1" x14ac:dyDescent="0.2">
      <c r="A40" s="294"/>
      <c r="B40" s="309"/>
      <c r="C40" s="309"/>
      <c r="D40" s="135">
        <v>6</v>
      </c>
      <c r="E40" s="179" t="s">
        <v>177</v>
      </c>
      <c r="F40" s="204">
        <v>0.85</v>
      </c>
      <c r="G40" s="205" t="s">
        <v>18</v>
      </c>
      <c r="H40" s="302"/>
      <c r="I40" s="246"/>
      <c r="J40" s="246"/>
      <c r="K40" s="302"/>
      <c r="L40" s="309"/>
      <c r="M40" s="309"/>
      <c r="N40" s="309"/>
      <c r="O40" s="309"/>
      <c r="P40" s="285"/>
      <c r="Q40" s="285"/>
      <c r="R40" s="285"/>
      <c r="S40" s="285"/>
      <c r="T40" s="285"/>
      <c r="U40" s="285"/>
      <c r="V40" s="285"/>
      <c r="W40" s="285"/>
    </row>
    <row r="41" spans="1:23" s="278" customFormat="1" ht="22.5" customHeight="1" x14ac:dyDescent="0.2">
      <c r="A41" s="294"/>
      <c r="B41" s="309"/>
      <c r="C41" s="309"/>
      <c r="D41" s="135">
        <v>6</v>
      </c>
      <c r="E41" s="180" t="s">
        <v>165</v>
      </c>
      <c r="F41" s="202">
        <v>28.69</v>
      </c>
      <c r="G41" s="203" t="s">
        <v>18</v>
      </c>
      <c r="H41" s="302"/>
      <c r="I41" s="246"/>
      <c r="J41" s="246"/>
      <c r="K41" s="302"/>
      <c r="L41" s="309"/>
      <c r="M41" s="309"/>
      <c r="N41" s="309"/>
      <c r="O41" s="309"/>
      <c r="P41" s="285"/>
      <c r="Q41" s="285"/>
      <c r="R41" s="285"/>
      <c r="S41" s="285"/>
      <c r="T41" s="285"/>
      <c r="U41" s="285"/>
      <c r="V41" s="285"/>
      <c r="W41" s="285"/>
    </row>
    <row r="42" spans="1:23" s="278" customFormat="1" ht="22.5" customHeight="1" x14ac:dyDescent="0.2">
      <c r="A42" s="294"/>
      <c r="B42" s="309"/>
      <c r="C42" s="309"/>
      <c r="D42" s="135">
        <v>9</v>
      </c>
      <c r="E42" s="179" t="s">
        <v>158</v>
      </c>
      <c r="F42" s="204">
        <v>1.6</v>
      </c>
      <c r="G42" s="205" t="s">
        <v>18</v>
      </c>
      <c r="H42" s="302"/>
      <c r="I42" s="246"/>
      <c r="J42" s="246"/>
      <c r="K42" s="302"/>
      <c r="L42" s="309"/>
      <c r="M42" s="309"/>
      <c r="N42" s="309"/>
      <c r="O42" s="309"/>
      <c r="P42" s="285"/>
      <c r="Q42" s="285"/>
      <c r="R42" s="285"/>
      <c r="S42" s="285"/>
      <c r="T42" s="285"/>
      <c r="U42" s="285"/>
      <c r="V42" s="285"/>
      <c r="W42" s="285"/>
    </row>
    <row r="43" spans="1:23" s="278" customFormat="1" ht="22.5" customHeight="1" x14ac:dyDescent="0.2">
      <c r="A43" s="294"/>
      <c r="B43" s="309"/>
      <c r="C43" s="309"/>
      <c r="D43" s="135">
        <v>9</v>
      </c>
      <c r="E43" s="180" t="s">
        <v>215</v>
      </c>
      <c r="F43" s="202">
        <v>29.99</v>
      </c>
      <c r="G43" s="203" t="s">
        <v>18</v>
      </c>
      <c r="H43" s="302"/>
      <c r="I43" s="246"/>
      <c r="J43" s="246"/>
      <c r="K43" s="302"/>
      <c r="L43" s="309"/>
      <c r="M43" s="309"/>
      <c r="N43" s="309"/>
      <c r="O43" s="309"/>
      <c r="P43" s="285"/>
      <c r="Q43" s="285"/>
      <c r="R43" s="285"/>
      <c r="S43" s="285"/>
      <c r="T43" s="285"/>
      <c r="U43" s="285"/>
      <c r="V43" s="285"/>
      <c r="W43" s="285"/>
    </row>
    <row r="44" spans="1:23" s="278" customFormat="1" ht="22.5" customHeight="1" x14ac:dyDescent="0.2">
      <c r="A44" s="294"/>
      <c r="B44" s="309"/>
      <c r="C44" s="309"/>
      <c r="D44" s="135">
        <v>9</v>
      </c>
      <c r="E44" s="179" t="s">
        <v>216</v>
      </c>
      <c r="F44" s="204">
        <v>5</v>
      </c>
      <c r="G44" s="205" t="s">
        <v>18</v>
      </c>
      <c r="H44" s="302"/>
      <c r="I44" s="246"/>
      <c r="J44" s="246"/>
      <c r="K44" s="302"/>
      <c r="L44" s="309"/>
      <c r="M44" s="309"/>
      <c r="N44" s="309"/>
      <c r="O44" s="309"/>
      <c r="P44" s="285"/>
      <c r="Q44" s="285"/>
      <c r="R44" s="285"/>
      <c r="S44" s="285"/>
      <c r="T44" s="285"/>
      <c r="U44" s="285"/>
      <c r="V44" s="285"/>
      <c r="W44" s="285"/>
    </row>
    <row r="45" spans="1:23" s="278" customFormat="1" ht="22.5" customHeight="1" x14ac:dyDescent="0.2">
      <c r="A45" s="294"/>
      <c r="B45" s="309"/>
      <c r="C45" s="309"/>
      <c r="D45" s="135">
        <v>10</v>
      </c>
      <c r="E45" s="180" t="s">
        <v>217</v>
      </c>
      <c r="F45" s="202">
        <v>2.25</v>
      </c>
      <c r="G45" s="203" t="s">
        <v>18</v>
      </c>
      <c r="H45" s="302"/>
      <c r="I45" s="246"/>
      <c r="J45" s="246"/>
      <c r="K45" s="302"/>
      <c r="L45" s="309"/>
      <c r="M45" s="309"/>
      <c r="N45" s="309"/>
      <c r="O45" s="309"/>
      <c r="P45" s="285"/>
      <c r="Q45" s="285"/>
      <c r="R45" s="285"/>
      <c r="S45" s="285"/>
      <c r="T45" s="285"/>
      <c r="U45" s="285"/>
      <c r="V45" s="285"/>
      <c r="W45" s="285"/>
    </row>
    <row r="46" spans="1:23" s="278" customFormat="1" ht="22.5" customHeight="1" x14ac:dyDescent="0.2">
      <c r="A46" s="294"/>
      <c r="B46" s="309"/>
      <c r="C46" s="309"/>
      <c r="D46" s="347">
        <v>11</v>
      </c>
      <c r="E46" s="179" t="s">
        <v>165</v>
      </c>
      <c r="F46" s="204">
        <v>4.4000000000000004</v>
      </c>
      <c r="G46" s="205" t="s">
        <v>18</v>
      </c>
      <c r="H46" s="303"/>
      <c r="I46" s="246"/>
      <c r="J46" s="246"/>
      <c r="K46" s="303"/>
      <c r="L46" s="309"/>
      <c r="M46" s="309"/>
      <c r="N46" s="309"/>
      <c r="O46" s="309"/>
      <c r="P46" s="285"/>
      <c r="Q46" s="285"/>
      <c r="R46" s="285"/>
      <c r="S46" s="285"/>
      <c r="T46" s="285"/>
      <c r="U46" s="285"/>
      <c r="V46" s="285"/>
      <c r="W46" s="285"/>
    </row>
    <row r="47" spans="1:23" s="278" customFormat="1" ht="22.5" customHeight="1" x14ac:dyDescent="0.2">
      <c r="A47" s="294"/>
      <c r="B47" s="309"/>
      <c r="C47" s="309"/>
      <c r="D47" s="347">
        <v>13</v>
      </c>
      <c r="E47" s="180" t="s">
        <v>218</v>
      </c>
      <c r="F47" s="202">
        <v>1.7</v>
      </c>
      <c r="G47" s="203" t="s">
        <v>18</v>
      </c>
      <c r="H47" s="303"/>
      <c r="I47" s="246"/>
      <c r="J47" s="246"/>
      <c r="K47" s="303"/>
      <c r="L47" s="309"/>
      <c r="M47" s="309"/>
      <c r="N47" s="309"/>
      <c r="O47" s="309"/>
      <c r="P47" s="285"/>
      <c r="Q47" s="285"/>
      <c r="R47" s="285"/>
      <c r="S47" s="285"/>
      <c r="T47" s="285"/>
      <c r="U47" s="285"/>
      <c r="V47" s="285"/>
      <c r="W47" s="285"/>
    </row>
    <row r="48" spans="1:23" s="278" customFormat="1" ht="22.5" customHeight="1" x14ac:dyDescent="0.2">
      <c r="A48" s="294"/>
      <c r="B48" s="309"/>
      <c r="C48" s="309"/>
      <c r="D48" s="347">
        <v>13</v>
      </c>
      <c r="E48" s="179" t="s">
        <v>165</v>
      </c>
      <c r="F48" s="204">
        <v>22.98</v>
      </c>
      <c r="G48" s="205" t="s">
        <v>18</v>
      </c>
      <c r="H48" s="303"/>
      <c r="I48" s="246"/>
      <c r="J48" s="246"/>
      <c r="K48" s="303"/>
      <c r="L48" s="309"/>
      <c r="M48" s="309"/>
      <c r="N48" s="309"/>
      <c r="O48" s="309"/>
      <c r="P48" s="285"/>
      <c r="Q48" s="285"/>
      <c r="R48" s="285"/>
      <c r="S48" s="285"/>
      <c r="T48" s="285"/>
      <c r="U48" s="285"/>
      <c r="V48" s="285"/>
      <c r="W48" s="285"/>
    </row>
    <row r="49" spans="1:23" s="278" customFormat="1" ht="22.5" customHeight="1" x14ac:dyDescent="0.2">
      <c r="A49" s="294"/>
      <c r="B49" s="309"/>
      <c r="C49" s="309"/>
      <c r="D49" s="351">
        <v>13</v>
      </c>
      <c r="E49" s="180" t="s">
        <v>29</v>
      </c>
      <c r="F49" s="202">
        <v>241</v>
      </c>
      <c r="G49" s="203" t="s">
        <v>29</v>
      </c>
      <c r="H49" s="303"/>
      <c r="I49" s="246"/>
      <c r="J49" s="246"/>
      <c r="K49" s="303"/>
      <c r="L49" s="309"/>
      <c r="M49" s="309"/>
      <c r="N49" s="309"/>
      <c r="O49" s="309"/>
      <c r="P49" s="285"/>
      <c r="Q49" s="285"/>
      <c r="R49" s="285"/>
      <c r="S49" s="285"/>
      <c r="T49" s="285"/>
      <c r="U49" s="285"/>
      <c r="V49" s="285"/>
      <c r="W49" s="285"/>
    </row>
    <row r="50" spans="1:23" s="278" customFormat="1" ht="22.5" customHeight="1" x14ac:dyDescent="0.2">
      <c r="A50" s="294"/>
      <c r="B50" s="309"/>
      <c r="C50" s="309"/>
      <c r="D50" s="358">
        <v>16</v>
      </c>
      <c r="E50" s="179" t="s">
        <v>219</v>
      </c>
      <c r="F50" s="204">
        <v>28.3</v>
      </c>
      <c r="G50" s="205" t="s">
        <v>128</v>
      </c>
      <c r="H50" s="303"/>
      <c r="I50" s="246"/>
      <c r="J50" s="246"/>
      <c r="K50" s="303"/>
      <c r="L50" s="309"/>
      <c r="M50" s="309"/>
      <c r="N50" s="309"/>
      <c r="O50" s="309"/>
      <c r="P50" s="285"/>
      <c r="Q50" s="285"/>
      <c r="R50" s="285"/>
      <c r="S50" s="285"/>
      <c r="T50" s="285"/>
      <c r="U50" s="285"/>
      <c r="V50" s="285"/>
      <c r="W50" s="285"/>
    </row>
    <row r="51" spans="1:23" s="278" customFormat="1" ht="22.5" customHeight="1" x14ac:dyDescent="0.2">
      <c r="A51" s="294"/>
      <c r="B51" s="309"/>
      <c r="C51" s="309"/>
      <c r="D51" s="358">
        <v>16</v>
      </c>
      <c r="E51" s="180" t="s">
        <v>220</v>
      </c>
      <c r="F51" s="202">
        <v>36.04</v>
      </c>
      <c r="G51" s="203" t="s">
        <v>128</v>
      </c>
      <c r="H51" s="303"/>
      <c r="I51" s="309"/>
      <c r="J51" s="309"/>
      <c r="K51" s="303"/>
      <c r="L51" s="309"/>
      <c r="M51" s="309"/>
      <c r="N51" s="309"/>
      <c r="O51" s="309"/>
      <c r="P51" s="285"/>
      <c r="Q51" s="285"/>
      <c r="R51" s="285"/>
      <c r="S51" s="285"/>
      <c r="T51" s="285"/>
      <c r="U51" s="285"/>
      <c r="V51" s="285"/>
      <c r="W51" s="285"/>
    </row>
    <row r="52" spans="1:23" s="278" customFormat="1" ht="22.5" customHeight="1" x14ac:dyDescent="0.2">
      <c r="A52" s="294"/>
      <c r="B52" s="309"/>
      <c r="C52" s="309"/>
      <c r="D52" s="351">
        <v>15</v>
      </c>
      <c r="E52" s="179" t="s">
        <v>180</v>
      </c>
      <c r="F52" s="204">
        <v>5.99</v>
      </c>
      <c r="G52" s="205" t="s">
        <v>128</v>
      </c>
      <c r="H52" s="303"/>
      <c r="I52" s="309"/>
      <c r="J52" s="309"/>
      <c r="K52" s="303"/>
      <c r="L52" s="309"/>
      <c r="M52" s="309"/>
      <c r="N52" s="309"/>
      <c r="O52" s="309"/>
      <c r="P52" s="285"/>
      <c r="Q52" s="285"/>
      <c r="R52" s="285"/>
      <c r="S52" s="285"/>
      <c r="T52" s="285"/>
      <c r="U52" s="285"/>
      <c r="V52" s="285"/>
      <c r="W52" s="285"/>
    </row>
    <row r="53" spans="1:23" s="278" customFormat="1" ht="22.5" customHeight="1" x14ac:dyDescent="0.2">
      <c r="A53" s="294"/>
      <c r="B53" s="309"/>
      <c r="C53" s="309"/>
      <c r="D53" s="347">
        <v>15</v>
      </c>
      <c r="E53" s="180" t="s">
        <v>165</v>
      </c>
      <c r="F53" s="202">
        <v>30</v>
      </c>
      <c r="G53" s="203" t="s">
        <v>18</v>
      </c>
      <c r="H53" s="303"/>
      <c r="I53" s="309"/>
      <c r="J53" s="309"/>
      <c r="K53" s="303"/>
      <c r="L53" s="309"/>
      <c r="M53" s="309"/>
      <c r="N53" s="309"/>
      <c r="O53" s="309"/>
      <c r="P53" s="285"/>
      <c r="Q53" s="285"/>
      <c r="R53" s="285"/>
      <c r="S53" s="285"/>
      <c r="T53" s="285"/>
      <c r="U53" s="285"/>
      <c r="V53" s="285"/>
      <c r="W53" s="285"/>
    </row>
    <row r="54" spans="1:23" s="278" customFormat="1" ht="22.5" customHeight="1" x14ac:dyDescent="0.2">
      <c r="A54" s="294"/>
      <c r="B54" s="309"/>
      <c r="C54" s="309"/>
      <c r="D54" s="347">
        <v>15</v>
      </c>
      <c r="E54" s="179" t="s">
        <v>221</v>
      </c>
      <c r="F54" s="204">
        <v>9.99</v>
      </c>
      <c r="G54" s="205" t="s">
        <v>18</v>
      </c>
      <c r="H54" s="303"/>
      <c r="I54" s="309"/>
      <c r="J54" s="309"/>
      <c r="K54" s="303"/>
      <c r="L54" s="309"/>
      <c r="M54" s="309"/>
      <c r="N54" s="309"/>
      <c r="O54" s="309"/>
      <c r="P54" s="285"/>
      <c r="Q54" s="285"/>
      <c r="R54" s="285"/>
      <c r="S54" s="285"/>
      <c r="T54" s="285"/>
      <c r="U54" s="285"/>
      <c r="V54" s="285"/>
      <c r="W54" s="285"/>
    </row>
    <row r="55" spans="1:23" s="278" customFormat="1" ht="22.5" customHeight="1" x14ac:dyDescent="0.2">
      <c r="A55" s="294"/>
      <c r="B55" s="309"/>
      <c r="C55" s="309"/>
      <c r="D55" s="347">
        <v>15</v>
      </c>
      <c r="E55" s="180" t="s">
        <v>222</v>
      </c>
      <c r="F55" s="202">
        <v>50</v>
      </c>
      <c r="G55" s="203" t="s">
        <v>1</v>
      </c>
      <c r="H55" s="303"/>
      <c r="I55" s="309"/>
      <c r="J55" s="309"/>
      <c r="K55" s="303"/>
      <c r="L55" s="309"/>
      <c r="M55" s="309"/>
      <c r="N55" s="309"/>
      <c r="O55" s="309"/>
      <c r="P55" s="285"/>
      <c r="Q55" s="285"/>
      <c r="R55" s="285"/>
      <c r="S55" s="285"/>
      <c r="T55" s="285"/>
      <c r="U55" s="285"/>
      <c r="V55" s="285"/>
      <c r="W55" s="285"/>
    </row>
    <row r="56" spans="1:23" s="278" customFormat="1" ht="22.5" customHeight="1" x14ac:dyDescent="0.2">
      <c r="A56" s="294"/>
      <c r="B56" s="309"/>
      <c r="C56" s="309"/>
      <c r="D56" s="358">
        <v>20</v>
      </c>
      <c r="E56" s="179" t="s">
        <v>223</v>
      </c>
      <c r="F56" s="204">
        <v>17.98</v>
      </c>
      <c r="G56" s="205" t="s">
        <v>128</v>
      </c>
      <c r="H56" s="303"/>
      <c r="I56" s="309"/>
      <c r="J56" s="309"/>
      <c r="K56" s="303"/>
      <c r="L56" s="309"/>
      <c r="M56" s="309"/>
      <c r="N56" s="309"/>
      <c r="O56" s="309"/>
      <c r="P56" s="285"/>
      <c r="Q56" s="285"/>
      <c r="R56" s="285"/>
      <c r="S56" s="285"/>
      <c r="T56" s="285"/>
      <c r="U56" s="285"/>
      <c r="V56" s="285"/>
      <c r="W56" s="285"/>
    </row>
    <row r="57" spans="1:23" s="278" customFormat="1" ht="22.5" customHeight="1" x14ac:dyDescent="0.2">
      <c r="A57" s="294"/>
      <c r="B57" s="309"/>
      <c r="C57" s="309"/>
      <c r="D57" s="358">
        <v>20</v>
      </c>
      <c r="E57" s="180" t="s">
        <v>220</v>
      </c>
      <c r="F57" s="202">
        <v>18.86</v>
      </c>
      <c r="G57" s="203" t="s">
        <v>128</v>
      </c>
      <c r="H57" s="303"/>
      <c r="I57" s="309"/>
      <c r="J57" s="309"/>
      <c r="K57" s="303"/>
      <c r="L57" s="309"/>
      <c r="M57" s="309"/>
      <c r="N57" s="309"/>
      <c r="O57" s="309"/>
      <c r="P57" s="285"/>
      <c r="Q57" s="285"/>
      <c r="R57" s="285"/>
      <c r="S57" s="285"/>
      <c r="T57" s="285"/>
      <c r="U57" s="285"/>
      <c r="V57" s="285"/>
      <c r="W57" s="285"/>
    </row>
    <row r="58" spans="1:23" s="278" customFormat="1" ht="22.5" customHeight="1" x14ac:dyDescent="0.2">
      <c r="A58" s="294"/>
      <c r="B58" s="309"/>
      <c r="C58" s="309"/>
      <c r="D58" s="358">
        <v>20</v>
      </c>
      <c r="E58" s="179" t="s">
        <v>224</v>
      </c>
      <c r="F58" s="204">
        <v>27.96</v>
      </c>
      <c r="G58" s="205" t="s">
        <v>128</v>
      </c>
      <c r="H58" s="303"/>
      <c r="I58" s="309"/>
      <c r="J58" s="309"/>
      <c r="K58" s="303"/>
      <c r="L58" s="309"/>
      <c r="M58" s="309"/>
      <c r="N58" s="309"/>
      <c r="O58" s="309"/>
      <c r="P58" s="285"/>
      <c r="Q58" s="285"/>
      <c r="R58" s="285"/>
      <c r="S58" s="285"/>
      <c r="T58" s="285"/>
      <c r="U58" s="285"/>
      <c r="V58" s="285"/>
      <c r="W58" s="285"/>
    </row>
    <row r="59" spans="1:23" s="278" customFormat="1" ht="22.5" customHeight="1" x14ac:dyDescent="0.2">
      <c r="A59" s="294"/>
      <c r="B59" s="309"/>
      <c r="C59" s="309"/>
      <c r="D59" s="358">
        <v>20</v>
      </c>
      <c r="E59" s="180" t="s">
        <v>225</v>
      </c>
      <c r="F59" s="202">
        <v>14.95</v>
      </c>
      <c r="G59" s="203" t="s">
        <v>128</v>
      </c>
      <c r="H59" s="303"/>
      <c r="I59" s="309"/>
      <c r="J59" s="309"/>
      <c r="K59" s="303"/>
      <c r="L59" s="309"/>
      <c r="M59" s="309"/>
      <c r="N59" s="309"/>
      <c r="O59" s="309"/>
      <c r="P59" s="285"/>
      <c r="Q59" s="285"/>
      <c r="R59" s="285"/>
      <c r="S59" s="285"/>
      <c r="T59" s="285"/>
      <c r="U59" s="285"/>
      <c r="V59" s="285"/>
      <c r="W59" s="285"/>
    </row>
    <row r="60" spans="1:23" s="278" customFormat="1" ht="22.5" customHeight="1" x14ac:dyDescent="0.2">
      <c r="A60" s="294"/>
      <c r="B60" s="309"/>
      <c r="C60" s="309"/>
      <c r="D60" s="358">
        <v>20</v>
      </c>
      <c r="E60" s="179" t="s">
        <v>224</v>
      </c>
      <c r="F60" s="204">
        <v>5</v>
      </c>
      <c r="G60" s="205" t="s">
        <v>128</v>
      </c>
      <c r="H60" s="303"/>
      <c r="I60" s="309"/>
      <c r="J60" s="309"/>
      <c r="K60" s="303"/>
      <c r="L60" s="309"/>
      <c r="M60" s="309"/>
      <c r="N60" s="309"/>
      <c r="O60" s="309"/>
      <c r="P60" s="285"/>
      <c r="Q60" s="285"/>
      <c r="R60" s="285"/>
      <c r="S60" s="285"/>
      <c r="T60" s="285"/>
      <c r="U60" s="285"/>
      <c r="V60" s="285"/>
      <c r="W60" s="285"/>
    </row>
    <row r="61" spans="1:23" s="278" customFormat="1" ht="22.5" customHeight="1" x14ac:dyDescent="0.2">
      <c r="A61" s="294"/>
      <c r="B61" s="309"/>
      <c r="C61" s="309"/>
      <c r="D61" s="351">
        <v>17</v>
      </c>
      <c r="E61" s="180" t="s">
        <v>165</v>
      </c>
      <c r="F61" s="202">
        <v>10</v>
      </c>
      <c r="G61" s="203" t="s">
        <v>18</v>
      </c>
      <c r="H61" s="303"/>
      <c r="I61" s="309"/>
      <c r="J61" s="309"/>
      <c r="K61" s="303"/>
      <c r="L61" s="309"/>
      <c r="M61" s="309"/>
      <c r="N61" s="309"/>
      <c r="O61" s="309"/>
      <c r="P61" s="285"/>
      <c r="Q61" s="285"/>
      <c r="R61" s="285"/>
      <c r="S61" s="285"/>
      <c r="T61" s="285"/>
      <c r="U61" s="285"/>
      <c r="V61" s="285"/>
      <c r="W61" s="285"/>
    </row>
    <row r="62" spans="1:23" s="278" customFormat="1" ht="22.5" customHeight="1" x14ac:dyDescent="0.2">
      <c r="A62" s="294"/>
      <c r="B62" s="309"/>
      <c r="C62" s="309"/>
      <c r="D62" s="347">
        <v>16</v>
      </c>
      <c r="E62" s="179" t="s">
        <v>165</v>
      </c>
      <c r="F62" s="204">
        <v>22</v>
      </c>
      <c r="G62" s="205" t="s">
        <v>18</v>
      </c>
      <c r="H62" s="303"/>
      <c r="I62" s="309"/>
      <c r="J62" s="309"/>
      <c r="K62" s="303"/>
      <c r="L62" s="309"/>
      <c r="M62" s="309"/>
      <c r="N62" s="309"/>
      <c r="O62" s="309"/>
      <c r="P62" s="285"/>
      <c r="Q62" s="285"/>
      <c r="R62" s="285"/>
      <c r="S62" s="285"/>
      <c r="T62" s="285"/>
      <c r="U62" s="285"/>
      <c r="V62" s="285"/>
      <c r="W62" s="285"/>
    </row>
    <row r="63" spans="1:23" s="278" customFormat="1" ht="22.5" customHeight="1" x14ac:dyDescent="0.2">
      <c r="A63" s="294"/>
      <c r="B63" s="309"/>
      <c r="C63" s="309"/>
      <c r="D63" s="347">
        <v>18</v>
      </c>
      <c r="E63" s="180" t="s">
        <v>161</v>
      </c>
      <c r="F63" s="202">
        <v>3.6</v>
      </c>
      <c r="G63" s="203" t="s">
        <v>18</v>
      </c>
      <c r="H63" s="303"/>
      <c r="I63" s="309"/>
      <c r="J63" s="309"/>
      <c r="K63" s="303"/>
      <c r="L63" s="309"/>
      <c r="M63" s="309"/>
      <c r="N63" s="309"/>
      <c r="O63" s="309"/>
      <c r="P63" s="285"/>
      <c r="Q63" s="285"/>
      <c r="R63" s="285"/>
      <c r="S63" s="285"/>
      <c r="T63" s="285"/>
      <c r="U63" s="285"/>
      <c r="V63" s="285"/>
      <c r="W63" s="285"/>
    </row>
    <row r="64" spans="1:23" s="278" customFormat="1" ht="22.5" customHeight="1" x14ac:dyDescent="0.2">
      <c r="A64" s="294"/>
      <c r="B64" s="309"/>
      <c r="C64" s="309"/>
      <c r="D64" s="135">
        <v>18</v>
      </c>
      <c r="E64" s="179" t="s">
        <v>161</v>
      </c>
      <c r="F64" s="204">
        <v>8.75</v>
      </c>
      <c r="G64" s="205" t="s">
        <v>18</v>
      </c>
      <c r="H64" s="302"/>
      <c r="I64" s="309"/>
      <c r="J64" s="309"/>
      <c r="K64" s="302"/>
      <c r="L64" s="309"/>
      <c r="M64" s="309"/>
      <c r="N64" s="309"/>
      <c r="O64" s="309"/>
      <c r="P64" s="285"/>
      <c r="Q64" s="285"/>
      <c r="R64" s="285"/>
      <c r="S64" s="285"/>
      <c r="T64" s="285"/>
      <c r="U64" s="285"/>
      <c r="V64" s="285"/>
      <c r="W64" s="285"/>
    </row>
    <row r="65" spans="1:23" s="278" customFormat="1" ht="22.5" customHeight="1" x14ac:dyDescent="0.2">
      <c r="A65" s="294"/>
      <c r="B65" s="309"/>
      <c r="C65" s="309"/>
      <c r="D65" s="135">
        <v>18</v>
      </c>
      <c r="E65" s="180" t="s">
        <v>161</v>
      </c>
      <c r="F65" s="202">
        <v>9.4700000000000006</v>
      </c>
      <c r="G65" s="203" t="s">
        <v>18</v>
      </c>
      <c r="H65" s="302"/>
      <c r="I65" s="309"/>
      <c r="J65" s="309"/>
      <c r="K65" s="302"/>
      <c r="L65" s="309"/>
      <c r="M65" s="309"/>
      <c r="N65" s="309"/>
      <c r="O65" s="309"/>
      <c r="P65" s="285"/>
      <c r="Q65" s="285"/>
      <c r="R65" s="285"/>
      <c r="S65" s="285"/>
      <c r="T65" s="285"/>
      <c r="U65" s="285"/>
      <c r="V65" s="285"/>
      <c r="W65" s="285"/>
    </row>
    <row r="66" spans="1:23" s="278" customFormat="1" ht="22.5" customHeight="1" x14ac:dyDescent="0.2">
      <c r="A66" s="294"/>
      <c r="B66" s="309"/>
      <c r="C66" s="309"/>
      <c r="D66" s="135">
        <v>19</v>
      </c>
      <c r="E66" s="179" t="s">
        <v>193</v>
      </c>
      <c r="F66" s="204">
        <v>96</v>
      </c>
      <c r="G66" s="205" t="s">
        <v>20</v>
      </c>
      <c r="H66" s="302"/>
      <c r="I66" s="309"/>
      <c r="J66" s="309"/>
      <c r="K66" s="302"/>
      <c r="L66" s="309"/>
      <c r="M66" s="309"/>
      <c r="N66" s="309"/>
      <c r="O66" s="309"/>
      <c r="P66" s="285"/>
      <c r="Q66" s="285"/>
      <c r="R66" s="285"/>
      <c r="S66" s="285"/>
      <c r="T66" s="285"/>
      <c r="U66" s="285"/>
      <c r="V66" s="285"/>
      <c r="W66" s="285"/>
    </row>
    <row r="67" spans="1:23" s="278" customFormat="1" ht="22.5" customHeight="1" x14ac:dyDescent="0.2">
      <c r="A67" s="294"/>
      <c r="B67" s="309"/>
      <c r="C67" s="309"/>
      <c r="D67" s="135">
        <v>19</v>
      </c>
      <c r="E67" s="180" t="s">
        <v>172</v>
      </c>
      <c r="F67" s="202">
        <v>101.82</v>
      </c>
      <c r="G67" s="203" t="s">
        <v>13</v>
      </c>
      <c r="H67" s="302"/>
      <c r="I67" s="309"/>
      <c r="J67" s="309"/>
      <c r="K67" s="302"/>
      <c r="L67" s="309"/>
      <c r="M67" s="309"/>
      <c r="N67" s="309"/>
      <c r="O67" s="309"/>
      <c r="P67" s="285"/>
      <c r="Q67" s="285"/>
      <c r="R67" s="285"/>
      <c r="S67" s="285"/>
      <c r="T67" s="285"/>
      <c r="U67" s="285"/>
      <c r="V67" s="285"/>
      <c r="W67" s="285"/>
    </row>
    <row r="68" spans="1:23" s="278" customFormat="1" ht="22.5" customHeight="1" x14ac:dyDescent="0.2">
      <c r="A68" s="294"/>
      <c r="B68" s="309"/>
      <c r="C68" s="309"/>
      <c r="D68" s="135">
        <v>19</v>
      </c>
      <c r="E68" s="179" t="s">
        <v>198</v>
      </c>
      <c r="F68" s="204">
        <v>48</v>
      </c>
      <c r="G68" s="205" t="s">
        <v>18</v>
      </c>
      <c r="H68" s="302"/>
      <c r="I68" s="309"/>
      <c r="J68" s="309"/>
      <c r="K68" s="302"/>
      <c r="L68" s="309"/>
      <c r="M68" s="309"/>
      <c r="N68" s="309"/>
      <c r="O68" s="309"/>
      <c r="P68" s="285"/>
      <c r="Q68" s="285"/>
      <c r="R68" s="285"/>
      <c r="S68" s="285"/>
      <c r="T68" s="285"/>
      <c r="U68" s="285"/>
      <c r="V68" s="285"/>
      <c r="W68" s="285"/>
    </row>
    <row r="69" spans="1:23" s="278" customFormat="1" ht="22.5" customHeight="1" x14ac:dyDescent="0.2">
      <c r="A69" s="294"/>
      <c r="B69" s="309"/>
      <c r="C69" s="309"/>
      <c r="D69" s="135">
        <v>20</v>
      </c>
      <c r="E69" s="180" t="s">
        <v>177</v>
      </c>
      <c r="F69" s="202">
        <v>6.05</v>
      </c>
      <c r="G69" s="203" t="s">
        <v>18</v>
      </c>
      <c r="H69" s="302"/>
      <c r="I69" s="309"/>
      <c r="J69" s="309"/>
      <c r="K69" s="302"/>
      <c r="L69" s="309"/>
      <c r="M69" s="309"/>
      <c r="N69" s="309"/>
      <c r="O69" s="309"/>
      <c r="P69" s="285"/>
      <c r="Q69" s="285"/>
      <c r="R69" s="285"/>
      <c r="S69" s="285"/>
      <c r="T69" s="285"/>
      <c r="U69" s="285"/>
      <c r="V69" s="285"/>
      <c r="W69" s="285"/>
    </row>
    <row r="70" spans="1:23" s="278" customFormat="1" ht="22.5" customHeight="1" x14ac:dyDescent="0.2">
      <c r="A70" s="294"/>
      <c r="B70" s="309"/>
      <c r="C70" s="309"/>
      <c r="D70" s="135">
        <v>20</v>
      </c>
      <c r="E70" s="179" t="s">
        <v>226</v>
      </c>
      <c r="F70" s="204">
        <v>6</v>
      </c>
      <c r="G70" s="205" t="s">
        <v>18</v>
      </c>
      <c r="H70" s="302"/>
      <c r="I70" s="309"/>
      <c r="J70" s="309"/>
      <c r="K70" s="302"/>
      <c r="L70" s="309"/>
      <c r="M70" s="309"/>
      <c r="N70" s="309"/>
      <c r="O70" s="309"/>
      <c r="P70" s="285"/>
      <c r="Q70" s="285"/>
      <c r="R70" s="285"/>
      <c r="S70" s="285"/>
      <c r="T70" s="285"/>
      <c r="U70" s="285"/>
      <c r="V70" s="285"/>
      <c r="W70" s="285"/>
    </row>
    <row r="71" spans="1:23" s="278" customFormat="1" ht="22.5" customHeight="1" x14ac:dyDescent="0.2">
      <c r="A71" s="294"/>
      <c r="B71" s="309"/>
      <c r="C71" s="309"/>
      <c r="D71" s="135">
        <v>23</v>
      </c>
      <c r="E71" s="180" t="s">
        <v>227</v>
      </c>
      <c r="F71" s="202">
        <v>2.78</v>
      </c>
      <c r="G71" s="203" t="s">
        <v>18</v>
      </c>
      <c r="H71" s="302"/>
      <c r="I71" s="309"/>
      <c r="J71" s="309"/>
      <c r="K71" s="302"/>
      <c r="L71" s="309"/>
      <c r="M71" s="309"/>
      <c r="N71" s="309"/>
      <c r="O71" s="309"/>
      <c r="P71" s="285"/>
      <c r="Q71" s="285"/>
      <c r="R71" s="285"/>
      <c r="S71" s="285"/>
      <c r="T71" s="285"/>
      <c r="U71" s="285"/>
      <c r="V71" s="285"/>
      <c r="W71" s="285"/>
    </row>
    <row r="72" spans="1:23" s="278" customFormat="1" ht="22.5" customHeight="1" x14ac:dyDescent="0.2">
      <c r="A72" s="294"/>
      <c r="B72" s="309"/>
      <c r="C72" s="309"/>
      <c r="D72" s="135">
        <v>23</v>
      </c>
      <c r="E72" s="179" t="s">
        <v>165</v>
      </c>
      <c r="F72" s="204">
        <v>12.85</v>
      </c>
      <c r="G72" s="205" t="s">
        <v>18</v>
      </c>
      <c r="H72" s="302"/>
      <c r="I72" s="309"/>
      <c r="J72" s="309"/>
      <c r="K72" s="302"/>
      <c r="L72" s="309"/>
      <c r="M72" s="309"/>
      <c r="N72" s="309"/>
      <c r="O72" s="309"/>
      <c r="P72" s="285"/>
      <c r="Q72" s="285"/>
      <c r="R72" s="285"/>
      <c r="S72" s="285"/>
      <c r="T72" s="285"/>
      <c r="U72" s="285"/>
      <c r="V72" s="285"/>
      <c r="W72" s="285"/>
    </row>
    <row r="73" spans="1:23" s="278" customFormat="1" ht="22.5" customHeight="1" x14ac:dyDescent="0.2">
      <c r="A73" s="294"/>
      <c r="B73" s="309"/>
      <c r="C73" s="309"/>
      <c r="D73" s="135">
        <v>23</v>
      </c>
      <c r="E73" s="180" t="s">
        <v>165</v>
      </c>
      <c r="F73" s="202">
        <v>35.200000000000003</v>
      </c>
      <c r="G73" s="203" t="s">
        <v>18</v>
      </c>
      <c r="H73" s="302"/>
      <c r="I73" s="309"/>
      <c r="J73" s="309"/>
      <c r="K73" s="302"/>
      <c r="L73" s="309"/>
      <c r="M73" s="309"/>
      <c r="N73" s="309"/>
      <c r="O73" s="309"/>
      <c r="P73" s="285"/>
      <c r="Q73" s="285"/>
      <c r="R73" s="285"/>
      <c r="S73" s="285"/>
      <c r="T73" s="285"/>
      <c r="U73" s="285"/>
      <c r="V73" s="285"/>
      <c r="W73" s="285"/>
    </row>
    <row r="74" spans="1:23" s="278" customFormat="1" ht="22.5" customHeight="1" x14ac:dyDescent="0.2">
      <c r="A74" s="294"/>
      <c r="B74" s="309"/>
      <c r="C74" s="309"/>
      <c r="D74" s="135">
        <v>24</v>
      </c>
      <c r="E74" s="179" t="s">
        <v>228</v>
      </c>
      <c r="F74" s="204">
        <v>5</v>
      </c>
      <c r="G74" s="205" t="s">
        <v>18</v>
      </c>
      <c r="H74" s="302"/>
      <c r="I74" s="309"/>
      <c r="J74" s="309"/>
      <c r="K74" s="302"/>
      <c r="L74" s="309"/>
      <c r="M74" s="309"/>
      <c r="N74" s="309"/>
      <c r="O74" s="309"/>
      <c r="P74" s="285"/>
      <c r="Q74" s="285"/>
      <c r="R74" s="285"/>
      <c r="S74" s="285"/>
      <c r="T74" s="285"/>
      <c r="U74" s="285"/>
      <c r="V74" s="285"/>
      <c r="W74" s="285"/>
    </row>
    <row r="75" spans="1:23" s="278" customFormat="1" ht="22.5" customHeight="1" x14ac:dyDescent="0.2">
      <c r="A75" s="294"/>
      <c r="B75" s="309"/>
      <c r="C75" s="309"/>
      <c r="D75" s="135">
        <v>27</v>
      </c>
      <c r="E75" s="180" t="s">
        <v>229</v>
      </c>
      <c r="F75" s="202">
        <v>15.85</v>
      </c>
      <c r="G75" s="203" t="s">
        <v>18</v>
      </c>
      <c r="H75" s="302"/>
      <c r="I75" s="309"/>
      <c r="J75" s="309"/>
      <c r="K75" s="302"/>
      <c r="L75" s="309"/>
      <c r="M75" s="309"/>
      <c r="N75" s="309"/>
      <c r="O75" s="309"/>
      <c r="P75" s="285"/>
      <c r="Q75" s="285"/>
      <c r="R75" s="285"/>
      <c r="S75" s="285"/>
      <c r="T75" s="285"/>
      <c r="U75" s="285"/>
      <c r="V75" s="285"/>
      <c r="W75" s="285"/>
    </row>
    <row r="76" spans="1:23" s="278" customFormat="1" ht="22.5" customHeight="1" x14ac:dyDescent="0.2">
      <c r="A76" s="294"/>
      <c r="B76" s="309"/>
      <c r="C76" s="309"/>
      <c r="D76" s="135">
        <v>27</v>
      </c>
      <c r="E76" s="179" t="s">
        <v>165</v>
      </c>
      <c r="F76" s="204">
        <v>12.1</v>
      </c>
      <c r="G76" s="205" t="s">
        <v>18</v>
      </c>
      <c r="H76" s="302"/>
      <c r="I76" s="309"/>
      <c r="J76" s="309"/>
      <c r="K76" s="302"/>
      <c r="L76" s="309"/>
      <c r="M76" s="309"/>
      <c r="N76" s="309"/>
      <c r="O76" s="309"/>
      <c r="P76" s="285"/>
      <c r="Q76" s="285"/>
      <c r="R76" s="285"/>
      <c r="S76" s="285"/>
      <c r="T76" s="285"/>
      <c r="U76" s="285"/>
      <c r="V76" s="285"/>
      <c r="W76" s="285"/>
    </row>
    <row r="77" spans="1:23" s="278" customFormat="1" ht="22.5" customHeight="1" x14ac:dyDescent="0.2">
      <c r="A77" s="294"/>
      <c r="B77" s="309"/>
      <c r="C77" s="309"/>
      <c r="D77" s="134">
        <v>23</v>
      </c>
      <c r="E77" s="180" t="s">
        <v>144</v>
      </c>
      <c r="F77" s="202">
        <v>9.4700000000000006</v>
      </c>
      <c r="G77" s="203" t="s">
        <v>18</v>
      </c>
      <c r="H77" s="302"/>
      <c r="I77" s="309"/>
      <c r="J77" s="309"/>
      <c r="K77" s="302"/>
      <c r="L77" s="309"/>
      <c r="M77" s="309"/>
      <c r="N77" s="309"/>
      <c r="O77" s="309"/>
      <c r="P77" s="285"/>
      <c r="Q77" s="285"/>
      <c r="R77" s="285"/>
      <c r="S77" s="285"/>
      <c r="T77" s="285"/>
      <c r="U77" s="285"/>
      <c r="V77" s="285"/>
      <c r="W77" s="285"/>
    </row>
    <row r="78" spans="1:23" s="278" customFormat="1" ht="22.5" customHeight="1" x14ac:dyDescent="0.2">
      <c r="A78" s="294"/>
      <c r="B78" s="309"/>
      <c r="C78" s="309"/>
      <c r="D78" s="134">
        <v>23</v>
      </c>
      <c r="E78" s="179" t="s">
        <v>176</v>
      </c>
      <c r="F78" s="204">
        <v>8.1999999999999993</v>
      </c>
      <c r="G78" s="205" t="s">
        <v>18</v>
      </c>
      <c r="H78" s="302"/>
      <c r="I78" s="309"/>
      <c r="J78" s="309"/>
      <c r="K78" s="302"/>
      <c r="L78" s="309"/>
      <c r="M78" s="309"/>
      <c r="N78" s="309"/>
      <c r="O78" s="309"/>
      <c r="P78" s="285"/>
      <c r="Q78" s="285"/>
      <c r="R78" s="285"/>
      <c r="S78" s="285"/>
      <c r="T78" s="285"/>
      <c r="U78" s="285"/>
      <c r="V78" s="285"/>
      <c r="W78" s="285"/>
    </row>
    <row r="79" spans="1:23" s="278" customFormat="1" ht="22.5" customHeight="1" x14ac:dyDescent="0.2">
      <c r="A79" s="294"/>
      <c r="B79" s="309"/>
      <c r="C79" s="309"/>
      <c r="D79" s="134">
        <v>23</v>
      </c>
      <c r="E79" s="180" t="s">
        <v>233</v>
      </c>
      <c r="F79" s="202">
        <v>350</v>
      </c>
      <c r="G79" s="203" t="s">
        <v>18</v>
      </c>
      <c r="H79" s="302"/>
      <c r="I79" s="309"/>
      <c r="J79" s="309"/>
      <c r="K79" s="302"/>
      <c r="L79" s="309"/>
      <c r="M79" s="309"/>
      <c r="N79" s="309"/>
      <c r="O79" s="309"/>
      <c r="P79" s="285"/>
      <c r="Q79" s="285"/>
      <c r="R79" s="285"/>
      <c r="S79" s="285"/>
      <c r="T79" s="285"/>
      <c r="U79" s="285"/>
      <c r="V79" s="285"/>
      <c r="W79" s="285"/>
    </row>
    <row r="80" spans="1:23" s="278" customFormat="1" ht="22.5" customHeight="1" x14ac:dyDescent="0.2">
      <c r="A80" s="294"/>
      <c r="B80" s="309"/>
      <c r="C80" s="309"/>
      <c r="D80" s="134">
        <v>23</v>
      </c>
      <c r="E80" s="179" t="s">
        <v>234</v>
      </c>
      <c r="F80" s="204">
        <v>3.5</v>
      </c>
      <c r="G80" s="205" t="s">
        <v>128</v>
      </c>
      <c r="H80" s="302"/>
      <c r="I80" s="309"/>
      <c r="J80" s="309"/>
      <c r="K80" s="302"/>
      <c r="L80" s="309"/>
      <c r="M80" s="309"/>
      <c r="N80" s="309"/>
      <c r="O80" s="309"/>
      <c r="P80" s="285"/>
      <c r="Q80" s="285"/>
      <c r="R80" s="285"/>
      <c r="S80" s="285"/>
      <c r="T80" s="285"/>
      <c r="U80" s="285"/>
      <c r="V80" s="285"/>
      <c r="W80" s="285"/>
    </row>
    <row r="81" spans="1:23" s="278" customFormat="1" ht="22.5" customHeight="1" x14ac:dyDescent="0.2">
      <c r="A81" s="294"/>
      <c r="B81" s="309"/>
      <c r="C81" s="309"/>
      <c r="D81" s="134">
        <v>23</v>
      </c>
      <c r="E81" s="180" t="s">
        <v>234</v>
      </c>
      <c r="F81" s="202">
        <v>14.99</v>
      </c>
      <c r="G81" s="203" t="s">
        <v>128</v>
      </c>
      <c r="H81" s="302"/>
      <c r="I81" s="309"/>
      <c r="J81" s="309"/>
      <c r="K81" s="302"/>
      <c r="L81" s="309"/>
      <c r="M81" s="309"/>
      <c r="N81" s="309"/>
      <c r="O81" s="309"/>
      <c r="P81" s="285"/>
      <c r="Q81" s="285"/>
      <c r="R81" s="285"/>
      <c r="S81" s="285"/>
      <c r="T81" s="285"/>
      <c r="U81" s="285"/>
      <c r="V81" s="285"/>
      <c r="W81" s="285"/>
    </row>
    <row r="82" spans="1:23" s="278" customFormat="1" ht="22.5" customHeight="1" x14ac:dyDescent="0.2">
      <c r="A82" s="294"/>
      <c r="B82" s="309"/>
      <c r="C82" s="309"/>
      <c r="D82" s="134">
        <v>23</v>
      </c>
      <c r="E82" s="179" t="s">
        <v>234</v>
      </c>
      <c r="F82" s="204">
        <v>85.6</v>
      </c>
      <c r="G82" s="205" t="s">
        <v>128</v>
      </c>
      <c r="H82" s="302"/>
      <c r="I82" s="309"/>
      <c r="J82" s="309"/>
      <c r="K82" s="302"/>
      <c r="L82" s="309"/>
      <c r="M82" s="309"/>
      <c r="N82" s="309"/>
      <c r="O82" s="309"/>
      <c r="P82" s="285"/>
      <c r="Q82" s="285"/>
      <c r="R82" s="285"/>
      <c r="S82" s="285"/>
      <c r="T82" s="285"/>
      <c r="U82" s="285"/>
      <c r="V82" s="285"/>
      <c r="W82" s="285"/>
    </row>
    <row r="83" spans="1:23" s="278" customFormat="1" ht="22.5" customHeight="1" x14ac:dyDescent="0.2">
      <c r="A83" s="294"/>
      <c r="B83" s="309"/>
      <c r="C83" s="309"/>
      <c r="D83" s="134">
        <v>23</v>
      </c>
      <c r="E83" s="180" t="s">
        <v>176</v>
      </c>
      <c r="F83" s="202">
        <v>2.5</v>
      </c>
      <c r="G83" s="203" t="s">
        <v>128</v>
      </c>
      <c r="H83" s="302"/>
      <c r="I83" s="309"/>
      <c r="J83" s="309"/>
      <c r="K83" s="302"/>
      <c r="L83" s="309"/>
      <c r="M83" s="309"/>
      <c r="N83" s="309"/>
      <c r="O83" s="309"/>
      <c r="P83" s="285"/>
      <c r="Q83" s="285"/>
      <c r="R83" s="285"/>
      <c r="S83" s="285"/>
      <c r="T83" s="285"/>
      <c r="U83" s="285"/>
      <c r="V83" s="285"/>
      <c r="W83" s="285"/>
    </row>
    <row r="84" spans="1:23" s="278" customFormat="1" ht="22.5" customHeight="1" x14ac:dyDescent="0.2">
      <c r="A84" s="294"/>
      <c r="B84" s="309"/>
      <c r="C84" s="309"/>
      <c r="D84" s="134">
        <v>24</v>
      </c>
      <c r="E84" s="179" t="s">
        <v>144</v>
      </c>
      <c r="F84" s="204">
        <v>4.3899999999999997</v>
      </c>
      <c r="G84" s="205" t="s">
        <v>18</v>
      </c>
      <c r="H84" s="302"/>
      <c r="I84" s="309"/>
      <c r="J84" s="309"/>
      <c r="K84" s="302"/>
      <c r="L84" s="309"/>
      <c r="M84" s="309"/>
      <c r="N84" s="309"/>
      <c r="O84" s="309"/>
      <c r="P84" s="285"/>
      <c r="Q84" s="285"/>
      <c r="R84" s="285"/>
      <c r="S84" s="285"/>
      <c r="T84" s="285"/>
      <c r="U84" s="285"/>
      <c r="V84" s="285"/>
      <c r="W84" s="285"/>
    </row>
    <row r="85" spans="1:23" s="278" customFormat="1" ht="22.5" customHeight="1" x14ac:dyDescent="0.2">
      <c r="A85" s="294"/>
      <c r="B85" s="309"/>
      <c r="C85" s="309"/>
      <c r="D85" s="134">
        <v>24</v>
      </c>
      <c r="E85" s="180" t="s">
        <v>220</v>
      </c>
      <c r="F85" s="202">
        <v>8.6199999999999992</v>
      </c>
      <c r="G85" s="203" t="s">
        <v>128</v>
      </c>
      <c r="H85" s="302"/>
      <c r="I85" s="309"/>
      <c r="J85" s="309"/>
      <c r="K85" s="302"/>
      <c r="L85" s="309"/>
      <c r="M85" s="309"/>
      <c r="N85" s="309"/>
      <c r="O85" s="309"/>
      <c r="P85" s="285"/>
      <c r="Q85" s="285"/>
      <c r="R85" s="285"/>
      <c r="S85" s="285"/>
      <c r="T85" s="285"/>
      <c r="U85" s="285"/>
      <c r="V85" s="285"/>
      <c r="W85" s="285"/>
    </row>
    <row r="86" spans="1:23" s="278" customFormat="1" ht="22.5" customHeight="1" x14ac:dyDescent="0.2">
      <c r="A86" s="294"/>
      <c r="B86" s="309"/>
      <c r="C86" s="309"/>
      <c r="D86" s="134">
        <v>25</v>
      </c>
      <c r="E86" s="179" t="s">
        <v>144</v>
      </c>
      <c r="F86" s="204">
        <v>14.99</v>
      </c>
      <c r="G86" s="205" t="s">
        <v>18</v>
      </c>
      <c r="H86" s="302"/>
      <c r="I86" s="309"/>
      <c r="J86" s="309"/>
      <c r="K86" s="302"/>
      <c r="L86" s="309"/>
      <c r="M86" s="309"/>
      <c r="N86" s="309"/>
      <c r="O86" s="309"/>
      <c r="P86" s="285"/>
      <c r="Q86" s="285"/>
      <c r="R86" s="285"/>
      <c r="S86" s="285"/>
      <c r="T86" s="285"/>
      <c r="U86" s="285"/>
      <c r="V86" s="285"/>
      <c r="W86" s="285"/>
    </row>
    <row r="87" spans="1:23" s="278" customFormat="1" ht="22.5" customHeight="1" x14ac:dyDescent="0.2">
      <c r="A87" s="294"/>
      <c r="B87" s="309"/>
      <c r="C87" s="309"/>
      <c r="D87" s="134">
        <v>25</v>
      </c>
      <c r="E87" s="180" t="s">
        <v>158</v>
      </c>
      <c r="F87" s="202">
        <v>37.25</v>
      </c>
      <c r="G87" s="203" t="s">
        <v>18</v>
      </c>
      <c r="H87" s="302"/>
      <c r="I87" s="309"/>
      <c r="J87" s="309"/>
      <c r="K87" s="302"/>
      <c r="L87" s="309"/>
      <c r="M87" s="309"/>
      <c r="N87" s="309"/>
      <c r="O87" s="309"/>
      <c r="P87" s="285"/>
      <c r="Q87" s="285"/>
      <c r="R87" s="285"/>
      <c r="S87" s="285"/>
      <c r="T87" s="285"/>
      <c r="U87" s="285"/>
      <c r="V87" s="285"/>
      <c r="W87" s="285"/>
    </row>
    <row r="88" spans="1:23" s="278" customFormat="1" ht="22.5" customHeight="1" x14ac:dyDescent="0.2">
      <c r="A88" s="294"/>
      <c r="B88" s="309"/>
      <c r="C88" s="309"/>
      <c r="D88" s="134">
        <v>27</v>
      </c>
      <c r="E88" s="179" t="s">
        <v>177</v>
      </c>
      <c r="F88" s="204">
        <v>6.61</v>
      </c>
      <c r="G88" s="205" t="s">
        <v>18</v>
      </c>
      <c r="H88" s="302"/>
      <c r="I88" s="309"/>
      <c r="J88" s="309"/>
      <c r="K88" s="302"/>
      <c r="L88" s="309"/>
      <c r="M88" s="309"/>
      <c r="N88" s="309"/>
      <c r="O88" s="309"/>
      <c r="P88" s="285"/>
      <c r="Q88" s="285"/>
      <c r="R88" s="285"/>
      <c r="S88" s="285"/>
      <c r="T88" s="285"/>
      <c r="U88" s="285"/>
      <c r="V88" s="285"/>
      <c r="W88" s="285"/>
    </row>
    <row r="89" spans="1:23" s="278" customFormat="1" ht="22.5" customHeight="1" x14ac:dyDescent="0.2">
      <c r="A89" s="294"/>
      <c r="B89" s="309"/>
      <c r="C89" s="309"/>
      <c r="D89" s="134">
        <v>28</v>
      </c>
      <c r="E89" s="180" t="s">
        <v>144</v>
      </c>
      <c r="F89" s="202">
        <v>19.489999999999998</v>
      </c>
      <c r="G89" s="203" t="s">
        <v>18</v>
      </c>
      <c r="H89" s="302"/>
      <c r="I89" s="309"/>
      <c r="J89" s="309"/>
      <c r="K89" s="302"/>
      <c r="L89" s="309"/>
      <c r="M89" s="309"/>
      <c r="N89" s="309"/>
      <c r="O89" s="309"/>
      <c r="P89" s="285"/>
      <c r="Q89" s="285"/>
      <c r="R89" s="285"/>
      <c r="S89" s="285"/>
      <c r="T89" s="285"/>
      <c r="U89" s="285"/>
      <c r="V89" s="285"/>
      <c r="W89" s="285"/>
    </row>
    <row r="90" spans="1:23" s="278" customFormat="1" ht="22.5" customHeight="1" x14ac:dyDescent="0.2">
      <c r="A90" s="294"/>
      <c r="B90" s="309"/>
      <c r="C90" s="309"/>
      <c r="D90" s="134">
        <v>28</v>
      </c>
      <c r="E90" s="179" t="s">
        <v>235</v>
      </c>
      <c r="F90" s="204">
        <v>62.98</v>
      </c>
      <c r="G90" s="205" t="s">
        <v>25</v>
      </c>
      <c r="H90" s="302"/>
      <c r="I90" s="309"/>
      <c r="J90" s="309"/>
      <c r="K90" s="302"/>
      <c r="L90" s="309"/>
      <c r="M90" s="309"/>
      <c r="N90" s="309"/>
      <c r="O90" s="309"/>
      <c r="P90" s="285"/>
      <c r="Q90" s="285"/>
      <c r="R90" s="285"/>
      <c r="S90" s="285"/>
      <c r="T90" s="285"/>
      <c r="U90" s="285"/>
      <c r="V90" s="285"/>
      <c r="W90" s="285"/>
    </row>
    <row r="91" spans="1:23" s="278" customFormat="1" ht="22.5" customHeight="1" x14ac:dyDescent="0.2">
      <c r="A91" s="294"/>
      <c r="B91" s="309"/>
      <c r="C91" s="309"/>
      <c r="D91" s="438">
        <v>28</v>
      </c>
      <c r="E91" s="180" t="s">
        <v>172</v>
      </c>
      <c r="F91" s="202">
        <v>2.97</v>
      </c>
      <c r="G91" s="203" t="s">
        <v>18</v>
      </c>
      <c r="H91" s="304"/>
      <c r="I91" s="309"/>
      <c r="J91" s="309"/>
      <c r="K91" s="304"/>
      <c r="L91" s="309"/>
      <c r="M91" s="309"/>
      <c r="N91" s="309"/>
      <c r="O91" s="309"/>
      <c r="P91" s="285"/>
      <c r="Q91" s="285"/>
      <c r="R91" s="285"/>
      <c r="S91" s="285"/>
      <c r="T91" s="285"/>
      <c r="U91" s="285"/>
      <c r="V91" s="285"/>
      <c r="W91" s="285"/>
    </row>
    <row r="92" spans="1:23" s="278" customFormat="1" ht="22.5" customHeight="1" x14ac:dyDescent="0.2">
      <c r="A92" s="294"/>
      <c r="B92" s="309"/>
      <c r="C92" s="309"/>
      <c r="D92" s="438">
        <v>28</v>
      </c>
      <c r="E92" s="179" t="s">
        <v>172</v>
      </c>
      <c r="F92" s="204">
        <v>124.02</v>
      </c>
      <c r="G92" s="205" t="s">
        <v>13</v>
      </c>
      <c r="H92" s="304"/>
      <c r="I92" s="309"/>
      <c r="J92" s="309"/>
      <c r="K92" s="304"/>
      <c r="L92" s="309"/>
      <c r="M92" s="309"/>
      <c r="N92" s="309"/>
      <c r="O92" s="309"/>
      <c r="P92" s="285"/>
      <c r="Q92" s="285"/>
      <c r="R92" s="285"/>
      <c r="S92" s="285"/>
      <c r="T92" s="285"/>
      <c r="U92" s="285"/>
      <c r="V92" s="285"/>
      <c r="W92" s="285"/>
    </row>
    <row r="93" spans="1:23" s="278" customFormat="1" ht="22.5" customHeight="1" x14ac:dyDescent="0.2">
      <c r="A93" s="294"/>
      <c r="B93" s="309"/>
      <c r="C93" s="309"/>
      <c r="D93" s="134">
        <v>28</v>
      </c>
      <c r="E93" s="180" t="s">
        <v>236</v>
      </c>
      <c r="F93" s="202">
        <v>45</v>
      </c>
      <c r="G93" s="203" t="s">
        <v>13</v>
      </c>
      <c r="H93" s="302"/>
      <c r="I93" s="309"/>
      <c r="J93" s="309"/>
      <c r="K93" s="302"/>
      <c r="L93" s="309"/>
      <c r="M93" s="309"/>
      <c r="N93" s="309"/>
      <c r="O93" s="309"/>
      <c r="P93" s="285"/>
      <c r="Q93" s="285"/>
      <c r="R93" s="285"/>
      <c r="S93" s="285"/>
      <c r="T93" s="285"/>
      <c r="U93" s="285"/>
      <c r="V93" s="285"/>
      <c r="W93" s="285"/>
    </row>
    <row r="94" spans="1:23" s="278" customFormat="1" ht="22.5" customHeight="1" x14ac:dyDescent="0.2">
      <c r="A94" s="294"/>
      <c r="B94" s="309"/>
      <c r="C94" s="309"/>
      <c r="D94" s="134">
        <v>28</v>
      </c>
      <c r="E94" s="179" t="s">
        <v>237</v>
      </c>
      <c r="F94" s="204">
        <v>8.98</v>
      </c>
      <c r="G94" s="205" t="s">
        <v>18</v>
      </c>
      <c r="H94" s="302"/>
      <c r="I94" s="309"/>
      <c r="J94" s="309"/>
      <c r="K94" s="302"/>
      <c r="L94" s="309"/>
      <c r="M94" s="309"/>
      <c r="N94" s="309"/>
      <c r="O94" s="309"/>
      <c r="P94" s="285"/>
      <c r="Q94" s="285"/>
      <c r="R94" s="285"/>
      <c r="S94" s="285"/>
      <c r="T94" s="285"/>
      <c r="U94" s="285"/>
      <c r="V94" s="285"/>
      <c r="W94" s="285"/>
    </row>
    <row r="95" spans="1:23" s="278" customFormat="1" ht="22.5" customHeight="1" x14ac:dyDescent="0.2">
      <c r="A95" s="294"/>
      <c r="B95" s="309"/>
      <c r="C95" s="309"/>
      <c r="D95" s="134">
        <v>28</v>
      </c>
      <c r="E95" s="180" t="s">
        <v>238</v>
      </c>
      <c r="F95" s="202">
        <v>3.6</v>
      </c>
      <c r="G95" s="203" t="s">
        <v>18</v>
      </c>
      <c r="H95" s="302"/>
      <c r="I95" s="309"/>
      <c r="J95" s="309"/>
      <c r="K95" s="302"/>
      <c r="L95" s="309"/>
      <c r="M95" s="309"/>
      <c r="N95" s="309"/>
      <c r="O95" s="309"/>
      <c r="P95" s="285"/>
      <c r="Q95" s="285"/>
      <c r="R95" s="285"/>
      <c r="S95" s="285"/>
      <c r="T95" s="285"/>
      <c r="U95" s="285"/>
      <c r="V95" s="285"/>
      <c r="W95" s="285"/>
    </row>
    <row r="96" spans="1:23" s="278" customFormat="1" ht="22.5" customHeight="1" x14ac:dyDescent="0.2">
      <c r="A96" s="294"/>
      <c r="B96" s="309"/>
      <c r="C96" s="309"/>
      <c r="D96" s="134">
        <v>28</v>
      </c>
      <c r="E96" s="179" t="s">
        <v>158</v>
      </c>
      <c r="F96" s="204">
        <v>3.5</v>
      </c>
      <c r="G96" s="205" t="s">
        <v>18</v>
      </c>
      <c r="H96" s="302"/>
      <c r="I96" s="309"/>
      <c r="J96" s="309"/>
      <c r="K96" s="302"/>
      <c r="L96" s="309"/>
      <c r="M96" s="309"/>
      <c r="N96" s="309"/>
      <c r="O96" s="309"/>
      <c r="P96" s="285"/>
      <c r="Q96" s="285"/>
      <c r="R96" s="285"/>
      <c r="S96" s="285"/>
      <c r="T96" s="285"/>
      <c r="U96" s="285"/>
      <c r="V96" s="285"/>
      <c r="W96" s="285"/>
    </row>
    <row r="97" spans="1:23" s="278" customFormat="1" ht="22.5" customHeight="1" x14ac:dyDescent="0.2">
      <c r="A97" s="294"/>
      <c r="B97" s="309"/>
      <c r="C97" s="309"/>
      <c r="D97" s="134">
        <v>28</v>
      </c>
      <c r="E97" s="180" t="s">
        <v>176</v>
      </c>
      <c r="F97" s="202">
        <v>2.5</v>
      </c>
      <c r="G97" s="203" t="s">
        <v>18</v>
      </c>
      <c r="H97" s="302"/>
      <c r="I97" s="309"/>
      <c r="J97" s="309"/>
      <c r="K97" s="302"/>
      <c r="L97" s="309"/>
      <c r="M97" s="309"/>
      <c r="N97" s="309"/>
      <c r="O97" s="309"/>
      <c r="P97" s="285"/>
      <c r="Q97" s="285"/>
      <c r="R97" s="285"/>
      <c r="S97" s="285"/>
      <c r="T97" s="285"/>
      <c r="U97" s="285"/>
      <c r="V97" s="285"/>
      <c r="W97" s="285"/>
    </row>
    <row r="98" spans="1:23" s="278" customFormat="1" ht="22.5" customHeight="1" x14ac:dyDescent="0.2">
      <c r="A98" s="294"/>
      <c r="B98" s="309"/>
      <c r="C98" s="309"/>
      <c r="D98" s="374"/>
      <c r="E98" s="179" t="s">
        <v>92</v>
      </c>
      <c r="F98" s="204">
        <v>64.42</v>
      </c>
      <c r="G98" s="205" t="s">
        <v>18</v>
      </c>
      <c r="H98" s="302"/>
      <c r="I98" s="309"/>
      <c r="J98" s="309"/>
      <c r="K98" s="302"/>
      <c r="L98" s="309"/>
      <c r="M98" s="309"/>
      <c r="N98" s="309"/>
      <c r="O98" s="309"/>
      <c r="P98" s="285"/>
      <c r="Q98" s="285"/>
      <c r="R98" s="285"/>
      <c r="S98" s="285"/>
      <c r="T98" s="285"/>
      <c r="U98" s="285"/>
      <c r="V98" s="285"/>
      <c r="W98" s="285"/>
    </row>
    <row r="99" spans="1:23" s="278" customFormat="1" ht="22.5" customHeight="1" x14ac:dyDescent="0.2">
      <c r="A99" s="294"/>
      <c r="B99" s="309"/>
      <c r="C99" s="309"/>
      <c r="D99" s="374"/>
      <c r="E99" s="180"/>
      <c r="F99" s="202"/>
      <c r="G99" s="203"/>
      <c r="H99" s="302"/>
      <c r="I99" s="309"/>
      <c r="J99" s="309"/>
      <c r="K99" s="302"/>
      <c r="L99" s="309"/>
      <c r="M99" s="309"/>
      <c r="N99" s="309"/>
      <c r="O99" s="309"/>
      <c r="P99" s="285"/>
      <c r="Q99" s="285"/>
      <c r="R99" s="285"/>
      <c r="S99" s="285"/>
      <c r="T99" s="285"/>
      <c r="U99" s="285"/>
      <c r="V99" s="285"/>
      <c r="W99" s="285"/>
    </row>
    <row r="100" spans="1:23" s="278" customFormat="1" ht="22.5" customHeight="1" x14ac:dyDescent="0.2">
      <c r="A100" s="294"/>
      <c r="B100" s="309"/>
      <c r="C100" s="309"/>
      <c r="D100" s="374"/>
      <c r="E100" s="179"/>
      <c r="F100" s="204"/>
      <c r="G100" s="205"/>
      <c r="H100" s="302"/>
      <c r="I100" s="309"/>
      <c r="J100" s="309"/>
      <c r="K100" s="302"/>
      <c r="L100" s="309"/>
      <c r="M100" s="309"/>
      <c r="N100" s="309"/>
      <c r="O100" s="309"/>
      <c r="P100" s="285"/>
      <c r="Q100" s="285"/>
      <c r="R100" s="285"/>
      <c r="S100" s="285"/>
      <c r="T100" s="285"/>
      <c r="U100" s="285"/>
      <c r="V100" s="285"/>
      <c r="W100" s="285"/>
    </row>
    <row r="101" spans="1:23" s="278" customFormat="1" ht="22.5" customHeight="1" x14ac:dyDescent="0.2">
      <c r="A101" s="294"/>
      <c r="B101" s="309"/>
      <c r="C101" s="309"/>
      <c r="D101" s="374"/>
      <c r="E101" s="180"/>
      <c r="F101" s="202"/>
      <c r="G101" s="203"/>
      <c r="H101" s="302"/>
      <c r="I101" s="309"/>
      <c r="J101" s="309"/>
      <c r="K101" s="302"/>
      <c r="L101" s="309"/>
      <c r="M101" s="309"/>
      <c r="N101" s="309"/>
      <c r="O101" s="309"/>
      <c r="P101" s="285"/>
      <c r="Q101" s="285"/>
      <c r="R101" s="285"/>
      <c r="S101" s="285"/>
      <c r="T101" s="285"/>
      <c r="U101" s="285"/>
      <c r="V101" s="285"/>
      <c r="W101" s="285"/>
    </row>
    <row r="102" spans="1:23" s="278" customFormat="1" ht="22.5" customHeight="1" x14ac:dyDescent="0.2">
      <c r="A102" s="294"/>
      <c r="B102" s="309"/>
      <c r="C102" s="309"/>
      <c r="D102" s="374"/>
      <c r="E102" s="179"/>
      <c r="F102" s="204"/>
      <c r="G102" s="205"/>
      <c r="H102" s="302"/>
      <c r="I102" s="309"/>
      <c r="J102" s="309"/>
      <c r="K102" s="302"/>
      <c r="L102" s="309"/>
      <c r="M102" s="309"/>
      <c r="N102" s="309"/>
      <c r="O102" s="309"/>
      <c r="P102" s="285"/>
      <c r="Q102" s="285"/>
      <c r="R102" s="285"/>
      <c r="S102" s="285"/>
      <c r="T102" s="285"/>
      <c r="U102" s="285"/>
      <c r="V102" s="285"/>
      <c r="W102" s="285"/>
    </row>
    <row r="103" spans="1:23" s="278" customFormat="1" ht="22.5" customHeight="1" x14ac:dyDescent="0.2">
      <c r="A103" s="294"/>
      <c r="B103" s="309"/>
      <c r="C103" s="309"/>
      <c r="D103" s="374"/>
      <c r="E103" s="180"/>
      <c r="F103" s="202"/>
      <c r="G103" s="203"/>
      <c r="H103" s="302"/>
      <c r="I103" s="309"/>
      <c r="J103" s="309"/>
      <c r="K103" s="302"/>
      <c r="L103" s="309"/>
      <c r="M103" s="309"/>
      <c r="N103" s="309"/>
      <c r="O103" s="309"/>
      <c r="P103" s="285"/>
      <c r="Q103" s="285"/>
      <c r="R103" s="285"/>
      <c r="S103" s="285"/>
      <c r="T103" s="285"/>
      <c r="U103" s="285"/>
      <c r="V103" s="285"/>
      <c r="W103" s="285"/>
    </row>
    <row r="104" spans="1:23" s="278" customFormat="1" ht="22.5" customHeight="1" x14ac:dyDescent="0.2">
      <c r="A104" s="294"/>
      <c r="B104" s="309"/>
      <c r="C104" s="309"/>
      <c r="D104" s="374"/>
      <c r="E104" s="179"/>
      <c r="F104" s="204"/>
      <c r="G104" s="205"/>
      <c r="H104" s="302"/>
      <c r="I104" s="309"/>
      <c r="J104" s="309"/>
      <c r="K104" s="302"/>
      <c r="L104" s="309"/>
      <c r="M104" s="309"/>
      <c r="N104" s="309"/>
      <c r="O104" s="309"/>
      <c r="P104" s="285"/>
      <c r="Q104" s="285"/>
      <c r="R104" s="285"/>
      <c r="S104" s="285"/>
      <c r="T104" s="285"/>
      <c r="U104" s="285"/>
      <c r="V104" s="285"/>
      <c r="W104" s="285"/>
    </row>
    <row r="105" spans="1:23" s="278" customFormat="1" ht="22.5" customHeight="1" x14ac:dyDescent="0.2">
      <c r="A105" s="294"/>
      <c r="B105" s="309"/>
      <c r="C105" s="309"/>
      <c r="D105" s="374"/>
      <c r="E105" s="180"/>
      <c r="F105" s="202"/>
      <c r="G105" s="203"/>
      <c r="H105" s="302"/>
      <c r="I105" s="309"/>
      <c r="J105" s="309"/>
      <c r="K105" s="302"/>
      <c r="L105" s="309"/>
      <c r="M105" s="309"/>
      <c r="N105" s="309"/>
      <c r="O105" s="309"/>
      <c r="P105" s="285"/>
      <c r="Q105" s="285"/>
      <c r="R105" s="285"/>
      <c r="S105" s="285"/>
      <c r="T105" s="285"/>
      <c r="U105" s="285"/>
      <c r="V105" s="285"/>
      <c r="W105" s="285"/>
    </row>
    <row r="106" spans="1:23" s="278" customFormat="1" ht="22.5" customHeight="1" x14ac:dyDescent="0.2">
      <c r="A106" s="294"/>
      <c r="B106" s="309"/>
      <c r="C106" s="309"/>
      <c r="D106" s="374"/>
      <c r="E106" s="179"/>
      <c r="F106" s="204"/>
      <c r="G106" s="205"/>
      <c r="H106" s="302"/>
      <c r="I106" s="309"/>
      <c r="J106" s="309"/>
      <c r="K106" s="302"/>
      <c r="L106" s="309"/>
      <c r="M106" s="309"/>
      <c r="N106" s="309"/>
      <c r="O106" s="309"/>
      <c r="P106" s="285"/>
      <c r="Q106" s="285"/>
      <c r="R106" s="285"/>
      <c r="S106" s="285"/>
      <c r="T106" s="285"/>
      <c r="U106" s="285"/>
      <c r="V106" s="285"/>
      <c r="W106" s="285"/>
    </row>
    <row r="107" spans="1:23" s="278" customFormat="1" ht="22.5" customHeight="1" x14ac:dyDescent="0.2">
      <c r="A107" s="294"/>
      <c r="B107" s="309"/>
      <c r="C107" s="309"/>
      <c r="D107" s="374"/>
      <c r="E107" s="180"/>
      <c r="F107" s="202"/>
      <c r="G107" s="203"/>
      <c r="H107" s="302"/>
      <c r="I107" s="309"/>
      <c r="J107" s="309"/>
      <c r="K107" s="302"/>
      <c r="L107" s="309"/>
      <c r="M107" s="309"/>
      <c r="N107" s="309"/>
      <c r="O107" s="309"/>
      <c r="P107" s="285"/>
      <c r="Q107" s="285"/>
      <c r="R107" s="285"/>
      <c r="S107" s="285"/>
      <c r="T107" s="285"/>
      <c r="U107" s="285"/>
      <c r="V107" s="285"/>
      <c r="W107" s="285"/>
    </row>
    <row r="108" spans="1:23" s="278" customFormat="1" ht="22.5" customHeight="1" x14ac:dyDescent="0.2">
      <c r="A108" s="294"/>
      <c r="B108" s="309"/>
      <c r="C108" s="309"/>
      <c r="D108" s="374"/>
      <c r="E108" s="179"/>
      <c r="F108" s="204"/>
      <c r="G108" s="205"/>
      <c r="H108" s="302"/>
      <c r="I108" s="309"/>
      <c r="J108" s="309"/>
      <c r="K108" s="302"/>
      <c r="L108" s="309"/>
      <c r="M108" s="309"/>
      <c r="N108" s="309"/>
      <c r="O108" s="309"/>
      <c r="P108" s="285"/>
      <c r="Q108" s="285"/>
      <c r="R108" s="285"/>
      <c r="S108" s="285"/>
      <c r="T108" s="285"/>
      <c r="U108" s="285"/>
      <c r="V108" s="285"/>
      <c r="W108" s="285"/>
    </row>
    <row r="109" spans="1:23" s="278" customFormat="1" ht="22.5" customHeight="1" x14ac:dyDescent="0.2">
      <c r="A109" s="294"/>
      <c r="B109" s="309"/>
      <c r="C109" s="309"/>
      <c r="D109" s="374"/>
      <c r="E109" s="180"/>
      <c r="F109" s="202"/>
      <c r="G109" s="203"/>
      <c r="H109" s="302"/>
      <c r="I109" s="309"/>
      <c r="J109" s="309"/>
      <c r="K109" s="302"/>
      <c r="L109" s="309"/>
      <c r="M109" s="309"/>
      <c r="N109" s="309"/>
      <c r="O109" s="309"/>
      <c r="P109" s="285"/>
      <c r="Q109" s="285"/>
      <c r="R109" s="285"/>
      <c r="S109" s="285"/>
      <c r="T109" s="285"/>
      <c r="U109" s="285"/>
      <c r="V109" s="285"/>
      <c r="W109" s="285"/>
    </row>
    <row r="110" spans="1:23" s="278" customFormat="1" ht="22.5" customHeight="1" x14ac:dyDescent="0.2">
      <c r="A110" s="294"/>
      <c r="B110" s="309"/>
      <c r="C110" s="309"/>
      <c r="D110" s="374"/>
      <c r="E110" s="179"/>
      <c r="F110" s="204"/>
      <c r="G110" s="205"/>
      <c r="H110" s="302"/>
      <c r="I110" s="309"/>
      <c r="J110" s="309"/>
      <c r="K110" s="302"/>
      <c r="L110" s="309"/>
      <c r="M110" s="309"/>
      <c r="N110" s="309"/>
      <c r="O110" s="309"/>
      <c r="P110" s="285"/>
      <c r="Q110" s="285"/>
      <c r="R110" s="285"/>
      <c r="S110" s="285"/>
      <c r="T110" s="285"/>
      <c r="U110" s="285"/>
      <c r="V110" s="285"/>
      <c r="W110" s="285"/>
    </row>
    <row r="111" spans="1:23" s="278" customFormat="1" ht="22.5" customHeight="1" x14ac:dyDescent="0.2">
      <c r="A111" s="294"/>
      <c r="B111" s="309"/>
      <c r="C111" s="309"/>
      <c r="D111" s="374"/>
      <c r="E111" s="180"/>
      <c r="F111" s="202"/>
      <c r="G111" s="203"/>
      <c r="H111" s="302"/>
      <c r="I111" s="309"/>
      <c r="J111" s="309"/>
      <c r="K111" s="302"/>
      <c r="L111" s="309"/>
      <c r="M111" s="309"/>
      <c r="N111" s="309"/>
      <c r="O111" s="309"/>
      <c r="P111" s="285"/>
      <c r="Q111" s="285"/>
      <c r="R111" s="285"/>
      <c r="S111" s="285"/>
      <c r="T111" s="285"/>
      <c r="U111" s="285"/>
      <c r="V111" s="285"/>
      <c r="W111" s="285"/>
    </row>
    <row r="112" spans="1:23" s="278" customFormat="1" ht="22.5" customHeight="1" x14ac:dyDescent="0.2">
      <c r="A112" s="294"/>
      <c r="B112" s="309"/>
      <c r="C112" s="309"/>
      <c r="D112" s="374"/>
      <c r="E112" s="179"/>
      <c r="F112" s="204"/>
      <c r="G112" s="205"/>
      <c r="H112" s="302"/>
      <c r="I112" s="309"/>
      <c r="J112" s="309"/>
      <c r="K112" s="302"/>
      <c r="L112" s="309"/>
      <c r="M112" s="309"/>
      <c r="N112" s="309"/>
      <c r="O112" s="309"/>
      <c r="P112" s="285"/>
      <c r="Q112" s="285"/>
      <c r="R112" s="285"/>
      <c r="S112" s="285"/>
      <c r="T112" s="285"/>
      <c r="U112" s="285"/>
      <c r="V112" s="285"/>
      <c r="W112" s="285"/>
    </row>
    <row r="113" spans="1:23" s="278" customFormat="1" ht="22.5" customHeight="1" x14ac:dyDescent="0.2">
      <c r="A113" s="294"/>
      <c r="B113" s="309"/>
      <c r="C113" s="309"/>
      <c r="D113" s="374"/>
      <c r="E113" s="180"/>
      <c r="F113" s="202"/>
      <c r="G113" s="203"/>
      <c r="H113" s="302"/>
      <c r="I113" s="309"/>
      <c r="J113" s="309"/>
      <c r="K113" s="302"/>
      <c r="L113" s="309"/>
      <c r="M113" s="309"/>
      <c r="N113" s="309"/>
      <c r="O113" s="309"/>
      <c r="P113" s="285"/>
      <c r="Q113" s="285"/>
      <c r="R113" s="285"/>
      <c r="S113" s="285"/>
      <c r="T113" s="285"/>
      <c r="U113" s="285"/>
      <c r="V113" s="285"/>
      <c r="W113" s="285"/>
    </row>
    <row r="114" spans="1:23" s="278" customFormat="1" ht="22.5" customHeight="1" x14ac:dyDescent="0.2">
      <c r="A114" s="294"/>
      <c r="B114" s="309"/>
      <c r="C114" s="309"/>
      <c r="D114" s="374"/>
      <c r="E114" s="179"/>
      <c r="F114" s="204"/>
      <c r="G114" s="205"/>
      <c r="H114" s="302"/>
      <c r="I114" s="309"/>
      <c r="J114" s="309"/>
      <c r="K114" s="302"/>
      <c r="L114" s="309"/>
      <c r="M114" s="309"/>
      <c r="N114" s="309"/>
      <c r="O114" s="309"/>
      <c r="P114" s="285"/>
      <c r="Q114" s="285"/>
      <c r="R114" s="285"/>
      <c r="S114" s="285"/>
      <c r="T114" s="285"/>
      <c r="U114" s="285"/>
      <c r="V114" s="285"/>
      <c r="W114" s="285"/>
    </row>
    <row r="115" spans="1:23" s="278" customFormat="1" ht="22.5" customHeight="1" x14ac:dyDescent="0.2">
      <c r="A115" s="294"/>
      <c r="B115" s="309"/>
      <c r="C115" s="309"/>
      <c r="D115" s="374"/>
      <c r="E115" s="180"/>
      <c r="F115" s="202"/>
      <c r="G115" s="203"/>
      <c r="H115" s="302"/>
      <c r="I115" s="309"/>
      <c r="J115" s="309"/>
      <c r="K115" s="302"/>
      <c r="L115" s="309"/>
      <c r="M115" s="309"/>
      <c r="N115" s="309"/>
      <c r="O115" s="309"/>
      <c r="P115" s="285"/>
      <c r="Q115" s="285"/>
      <c r="R115" s="285"/>
      <c r="S115" s="285"/>
      <c r="T115" s="285"/>
      <c r="U115" s="285"/>
      <c r="V115" s="285"/>
      <c r="W115" s="285"/>
    </row>
    <row r="116" spans="1:23" s="278" customFormat="1" ht="22.5" customHeight="1" x14ac:dyDescent="0.2">
      <c r="A116" s="294"/>
      <c r="B116" s="309"/>
      <c r="C116" s="309"/>
      <c r="D116" s="374"/>
      <c r="E116" s="179"/>
      <c r="F116" s="204"/>
      <c r="G116" s="205"/>
      <c r="H116" s="302"/>
      <c r="I116" s="309"/>
      <c r="J116" s="309"/>
      <c r="K116" s="302"/>
      <c r="L116" s="309"/>
      <c r="M116" s="309"/>
      <c r="N116" s="309"/>
      <c r="O116" s="309"/>
      <c r="P116" s="285"/>
      <c r="Q116" s="285"/>
      <c r="R116" s="285"/>
      <c r="S116" s="285"/>
      <c r="T116" s="285"/>
      <c r="U116" s="285"/>
      <c r="V116" s="285"/>
      <c r="W116" s="285"/>
    </row>
    <row r="117" spans="1:23" s="278" customFormat="1" ht="22.5" customHeight="1" x14ac:dyDescent="0.2">
      <c r="A117" s="294"/>
      <c r="B117" s="309"/>
      <c r="C117" s="309"/>
      <c r="D117" s="374"/>
      <c r="E117" s="180"/>
      <c r="F117" s="202"/>
      <c r="G117" s="203"/>
      <c r="H117" s="302"/>
      <c r="I117" s="309"/>
      <c r="J117" s="309"/>
      <c r="K117" s="302"/>
      <c r="L117" s="309"/>
      <c r="M117" s="309"/>
      <c r="N117" s="309"/>
      <c r="O117" s="309"/>
      <c r="P117" s="285"/>
      <c r="Q117" s="285"/>
      <c r="R117" s="285"/>
      <c r="S117" s="285"/>
      <c r="T117" s="285"/>
      <c r="U117" s="285"/>
      <c r="V117" s="285"/>
      <c r="W117" s="285"/>
    </row>
    <row r="118" spans="1:23" s="278" customFormat="1" ht="22.5" customHeight="1" x14ac:dyDescent="0.2">
      <c r="A118" s="294"/>
      <c r="B118" s="309"/>
      <c r="C118" s="309"/>
      <c r="D118" s="374"/>
      <c r="E118" s="179"/>
      <c r="F118" s="204"/>
      <c r="G118" s="205"/>
      <c r="H118" s="302"/>
      <c r="I118" s="309"/>
      <c r="J118" s="309"/>
      <c r="K118" s="302"/>
      <c r="L118" s="309"/>
      <c r="M118" s="309"/>
      <c r="N118" s="309"/>
      <c r="O118" s="309"/>
      <c r="P118" s="285"/>
      <c r="Q118" s="285"/>
      <c r="R118" s="285"/>
      <c r="S118" s="285"/>
      <c r="T118" s="285"/>
      <c r="U118" s="285"/>
      <c r="V118" s="285"/>
      <c r="W118" s="285"/>
    </row>
    <row r="119" spans="1:23" s="278" customFormat="1" ht="22.5" customHeight="1" x14ac:dyDescent="0.2">
      <c r="A119" s="294"/>
      <c r="B119" s="308"/>
      <c r="C119" s="308"/>
      <c r="D119" s="374"/>
      <c r="E119" s="180"/>
      <c r="F119" s="202"/>
      <c r="G119" s="203"/>
      <c r="H119" s="302"/>
      <c r="I119" s="308"/>
      <c r="J119" s="308"/>
      <c r="K119" s="302"/>
      <c r="L119" s="308"/>
      <c r="M119" s="308"/>
      <c r="N119" s="308"/>
      <c r="O119" s="308"/>
      <c r="P119" s="277"/>
      <c r="Q119" s="277"/>
      <c r="R119" s="277"/>
      <c r="S119" s="277"/>
      <c r="T119" s="277"/>
      <c r="U119" s="277"/>
      <c r="V119" s="277"/>
      <c r="W119" s="277"/>
    </row>
    <row r="120" spans="1:23" s="278" customFormat="1" ht="22.5" customHeight="1" x14ac:dyDescent="0.2">
      <c r="A120" s="294"/>
      <c r="B120" s="308"/>
      <c r="C120" s="308"/>
      <c r="D120" s="374"/>
      <c r="E120" s="179"/>
      <c r="F120" s="204"/>
      <c r="G120" s="205"/>
      <c r="H120" s="302"/>
      <c r="I120" s="308"/>
      <c r="J120" s="308"/>
      <c r="K120" s="302"/>
      <c r="L120" s="308"/>
      <c r="M120" s="308"/>
      <c r="N120" s="308"/>
      <c r="O120" s="308"/>
      <c r="P120" s="277"/>
      <c r="Q120" s="277"/>
      <c r="R120" s="277"/>
      <c r="S120" s="277"/>
      <c r="T120" s="277"/>
      <c r="U120" s="277"/>
      <c r="V120" s="277"/>
      <c r="W120" s="277"/>
    </row>
    <row r="121" spans="1:23" s="278" customFormat="1" ht="22.5" customHeight="1" x14ac:dyDescent="0.2">
      <c r="A121" s="294"/>
      <c r="B121" s="308"/>
      <c r="C121" s="308"/>
      <c r="D121" s="374"/>
      <c r="E121" s="180"/>
      <c r="F121" s="202"/>
      <c r="G121" s="203"/>
      <c r="H121" s="302"/>
      <c r="I121" s="308"/>
      <c r="J121" s="308"/>
      <c r="K121" s="302"/>
      <c r="L121" s="308"/>
      <c r="M121" s="308"/>
      <c r="N121" s="308"/>
      <c r="O121" s="308"/>
      <c r="P121" s="277"/>
      <c r="Q121" s="277"/>
      <c r="R121" s="277"/>
      <c r="S121" s="277"/>
      <c r="T121" s="277"/>
      <c r="U121" s="277"/>
      <c r="V121" s="277"/>
      <c r="W121" s="277"/>
    </row>
    <row r="122" spans="1:23" s="278" customFormat="1" ht="22.5" customHeight="1" x14ac:dyDescent="0.2">
      <c r="A122" s="294"/>
      <c r="B122" s="308"/>
      <c r="C122" s="308"/>
      <c r="D122" s="374"/>
      <c r="E122" s="179"/>
      <c r="F122" s="204"/>
      <c r="G122" s="205"/>
      <c r="H122" s="302"/>
      <c r="I122" s="308"/>
      <c r="J122" s="308"/>
      <c r="K122" s="302"/>
      <c r="L122" s="308"/>
      <c r="M122" s="308"/>
      <c r="N122" s="308"/>
      <c r="O122" s="308"/>
      <c r="P122" s="277"/>
      <c r="Q122" s="277"/>
      <c r="R122" s="277"/>
      <c r="S122" s="277"/>
      <c r="T122" s="277"/>
      <c r="U122" s="277"/>
      <c r="V122" s="277"/>
      <c r="W122" s="277"/>
    </row>
    <row r="123" spans="1:23" s="278" customFormat="1" ht="22.5" customHeight="1" x14ac:dyDescent="0.2">
      <c r="A123" s="294"/>
      <c r="B123" s="308"/>
      <c r="C123" s="308"/>
      <c r="D123" s="374"/>
      <c r="E123" s="180"/>
      <c r="F123" s="202"/>
      <c r="G123" s="203"/>
      <c r="H123" s="302"/>
      <c r="I123" s="308"/>
      <c r="J123" s="308"/>
      <c r="K123" s="302"/>
      <c r="L123" s="308"/>
      <c r="M123" s="308"/>
      <c r="N123" s="308"/>
      <c r="O123" s="308"/>
      <c r="P123" s="277"/>
      <c r="Q123" s="277"/>
      <c r="R123" s="277"/>
      <c r="S123" s="277"/>
      <c r="T123" s="277"/>
      <c r="U123" s="277"/>
      <c r="V123" s="277"/>
      <c r="W123" s="277"/>
    </row>
    <row r="124" spans="1:23" s="278" customFormat="1" ht="22.5" customHeight="1" x14ac:dyDescent="0.2">
      <c r="A124" s="294"/>
      <c r="B124" s="308"/>
      <c r="C124" s="308"/>
      <c r="D124" s="374"/>
      <c r="E124" s="179"/>
      <c r="F124" s="204"/>
      <c r="G124" s="205"/>
      <c r="H124" s="302"/>
      <c r="I124" s="308"/>
      <c r="J124" s="308"/>
      <c r="K124" s="302"/>
      <c r="L124" s="308"/>
      <c r="M124" s="308"/>
      <c r="N124" s="308"/>
      <c r="O124" s="308"/>
      <c r="P124" s="277"/>
      <c r="Q124" s="277"/>
      <c r="R124" s="277"/>
      <c r="S124" s="277"/>
      <c r="T124" s="277"/>
      <c r="U124" s="277"/>
      <c r="V124" s="277"/>
      <c r="W124" s="277"/>
    </row>
    <row r="125" spans="1:23" s="278" customFormat="1" ht="22.5" customHeight="1" x14ac:dyDescent="0.2">
      <c r="A125" s="294"/>
      <c r="B125" s="308"/>
      <c r="C125" s="308"/>
      <c r="D125" s="374"/>
      <c r="E125" s="180"/>
      <c r="F125" s="202"/>
      <c r="G125" s="203"/>
      <c r="H125" s="302"/>
      <c r="I125" s="308"/>
      <c r="J125" s="308"/>
      <c r="K125" s="302"/>
      <c r="L125" s="308"/>
      <c r="M125" s="308"/>
      <c r="N125" s="308"/>
      <c r="O125" s="308"/>
      <c r="P125" s="277"/>
      <c r="Q125" s="277"/>
      <c r="R125" s="277"/>
      <c r="S125" s="277"/>
      <c r="T125" s="277"/>
      <c r="U125" s="277"/>
      <c r="V125" s="277"/>
      <c r="W125" s="277"/>
    </row>
    <row r="126" spans="1:23" s="278" customFormat="1" ht="22.5" customHeight="1" x14ac:dyDescent="0.2">
      <c r="A126" s="294"/>
      <c r="B126" s="308"/>
      <c r="C126" s="308"/>
      <c r="D126" s="374"/>
      <c r="E126" s="179"/>
      <c r="F126" s="204"/>
      <c r="G126" s="205"/>
      <c r="H126" s="302"/>
      <c r="I126" s="308"/>
      <c r="J126" s="308"/>
      <c r="K126" s="302"/>
      <c r="L126" s="308"/>
      <c r="M126" s="308"/>
      <c r="N126" s="308"/>
      <c r="O126" s="308"/>
      <c r="P126" s="277"/>
      <c r="Q126" s="277"/>
      <c r="R126" s="277"/>
      <c r="S126" s="277"/>
      <c r="T126" s="277"/>
      <c r="U126" s="277"/>
      <c r="V126" s="277"/>
      <c r="W126" s="277"/>
    </row>
    <row r="127" spans="1:23" s="278" customFormat="1" ht="22.5" customHeight="1" x14ac:dyDescent="0.2">
      <c r="A127" s="294"/>
      <c r="B127" s="308"/>
      <c r="C127" s="308"/>
      <c r="D127" s="376"/>
      <c r="E127" s="180"/>
      <c r="F127" s="202"/>
      <c r="G127" s="203"/>
      <c r="H127" s="305"/>
      <c r="I127" s="308"/>
      <c r="J127" s="308"/>
      <c r="K127" s="305"/>
      <c r="L127" s="308"/>
      <c r="M127" s="308"/>
      <c r="N127" s="308"/>
      <c r="O127" s="308"/>
      <c r="P127" s="277"/>
      <c r="Q127" s="277"/>
      <c r="R127" s="277"/>
      <c r="S127" s="277"/>
      <c r="T127" s="277"/>
      <c r="U127" s="277"/>
      <c r="V127" s="277"/>
      <c r="W127" s="277"/>
    </row>
    <row r="128" spans="1:23" s="278" customFormat="1" ht="22.5" customHeight="1" x14ac:dyDescent="0.2">
      <c r="A128" s="294"/>
      <c r="B128" s="308"/>
      <c r="C128" s="308"/>
      <c r="D128" s="374"/>
      <c r="E128" s="179"/>
      <c r="F128" s="204"/>
      <c r="G128" s="205"/>
      <c r="H128" s="302"/>
      <c r="I128" s="308"/>
      <c r="J128" s="308"/>
      <c r="K128" s="302"/>
      <c r="L128" s="308"/>
      <c r="M128" s="308"/>
      <c r="N128" s="308"/>
      <c r="O128" s="308"/>
      <c r="P128" s="277"/>
      <c r="Q128" s="277"/>
      <c r="R128" s="277"/>
      <c r="S128" s="277"/>
      <c r="T128" s="277"/>
      <c r="U128" s="277"/>
      <c r="V128" s="277"/>
      <c r="W128" s="277"/>
    </row>
    <row r="129" spans="1:23" s="278" customFormat="1" ht="22.5" customHeight="1" x14ac:dyDescent="0.2">
      <c r="A129" s="294"/>
      <c r="B129" s="308"/>
      <c r="C129" s="308"/>
      <c r="D129" s="374"/>
      <c r="E129" s="180"/>
      <c r="F129" s="202"/>
      <c r="G129" s="203"/>
      <c r="H129" s="302"/>
      <c r="I129" s="308"/>
      <c r="J129" s="308"/>
      <c r="K129" s="302"/>
      <c r="L129" s="308"/>
      <c r="M129" s="308"/>
      <c r="N129" s="308"/>
      <c r="O129" s="308"/>
      <c r="P129" s="277"/>
      <c r="Q129" s="277"/>
      <c r="R129" s="277"/>
      <c r="S129" s="277"/>
      <c r="T129" s="277"/>
      <c r="U129" s="277"/>
      <c r="V129" s="277"/>
      <c r="W129" s="277"/>
    </row>
    <row r="130" spans="1:23" s="278" customFormat="1" ht="22.5" customHeight="1" x14ac:dyDescent="0.2">
      <c r="A130" s="294"/>
      <c r="B130" s="308"/>
      <c r="C130" s="308"/>
      <c r="D130" s="374"/>
      <c r="E130" s="179"/>
      <c r="F130" s="204"/>
      <c r="G130" s="205"/>
      <c r="H130" s="302"/>
      <c r="I130" s="308"/>
      <c r="J130" s="308"/>
      <c r="K130" s="302"/>
      <c r="L130" s="308"/>
      <c r="M130" s="308"/>
      <c r="N130" s="308"/>
      <c r="O130" s="308"/>
      <c r="P130" s="277"/>
      <c r="Q130" s="277"/>
      <c r="R130" s="277"/>
      <c r="S130" s="277"/>
      <c r="T130" s="277"/>
      <c r="U130" s="277"/>
      <c r="V130" s="277"/>
      <c r="W130" s="277"/>
    </row>
    <row r="131" spans="1:23" s="278" customFormat="1" ht="22.5" customHeight="1" x14ac:dyDescent="0.2">
      <c r="A131" s="294"/>
      <c r="B131" s="308"/>
      <c r="C131" s="308"/>
      <c r="D131" s="374"/>
      <c r="E131" s="180"/>
      <c r="F131" s="202"/>
      <c r="G131" s="203"/>
      <c r="H131" s="302"/>
      <c r="I131" s="308"/>
      <c r="J131" s="308"/>
      <c r="K131" s="302"/>
      <c r="L131" s="308"/>
      <c r="M131" s="308"/>
      <c r="N131" s="308"/>
      <c r="O131" s="308"/>
      <c r="P131" s="277"/>
      <c r="Q131" s="277"/>
      <c r="R131" s="277"/>
      <c r="S131" s="277"/>
      <c r="T131" s="277"/>
      <c r="U131" s="277"/>
      <c r="V131" s="277"/>
      <c r="W131" s="277"/>
    </row>
    <row r="132" spans="1:23" s="278" customFormat="1" ht="22.5" customHeight="1" x14ac:dyDescent="0.2">
      <c r="A132" s="294"/>
      <c r="B132" s="308"/>
      <c r="C132" s="308"/>
      <c r="D132" s="374"/>
      <c r="E132" s="179"/>
      <c r="F132" s="204"/>
      <c r="G132" s="205"/>
      <c r="H132" s="302"/>
      <c r="I132" s="308"/>
      <c r="J132" s="308"/>
      <c r="K132" s="302"/>
      <c r="L132" s="308"/>
      <c r="M132" s="308"/>
      <c r="N132" s="308"/>
      <c r="O132" s="308"/>
      <c r="P132" s="277"/>
      <c r="Q132" s="277"/>
      <c r="R132" s="277"/>
      <c r="S132" s="277"/>
      <c r="T132" s="277"/>
      <c r="U132" s="277"/>
      <c r="V132" s="277"/>
      <c r="W132" s="277"/>
    </row>
    <row r="133" spans="1:23" s="278" customFormat="1" ht="22.5" customHeight="1" x14ac:dyDescent="0.2">
      <c r="A133" s="294"/>
      <c r="B133" s="308"/>
      <c r="C133" s="308"/>
      <c r="D133" s="374"/>
      <c r="E133" s="180"/>
      <c r="F133" s="202"/>
      <c r="G133" s="203"/>
      <c r="H133" s="302"/>
      <c r="I133" s="308"/>
      <c r="J133" s="308"/>
      <c r="K133" s="302"/>
      <c r="L133" s="308"/>
      <c r="M133" s="308"/>
      <c r="N133" s="308"/>
      <c r="O133" s="308"/>
      <c r="P133" s="277"/>
      <c r="Q133" s="277"/>
      <c r="R133" s="277"/>
      <c r="S133" s="277"/>
      <c r="T133" s="277"/>
      <c r="U133" s="277"/>
      <c r="V133" s="277"/>
      <c r="W133" s="277"/>
    </row>
    <row r="134" spans="1:23" s="278" customFormat="1" ht="22.5" customHeight="1" x14ac:dyDescent="0.2">
      <c r="A134" s="294"/>
      <c r="B134" s="308"/>
      <c r="C134" s="308"/>
      <c r="D134" s="374"/>
      <c r="E134" s="179"/>
      <c r="F134" s="204"/>
      <c r="G134" s="205"/>
      <c r="H134" s="302"/>
      <c r="I134" s="308"/>
      <c r="J134" s="308"/>
      <c r="K134" s="302"/>
      <c r="L134" s="308"/>
      <c r="M134" s="308"/>
      <c r="N134" s="308"/>
      <c r="O134" s="308"/>
      <c r="P134" s="277"/>
      <c r="Q134" s="277"/>
      <c r="R134" s="277"/>
      <c r="S134" s="277"/>
      <c r="T134" s="277"/>
      <c r="U134" s="277"/>
      <c r="V134" s="277"/>
      <c r="W134" s="277"/>
    </row>
    <row r="135" spans="1:23" s="278" customFormat="1" ht="22.5" customHeight="1" x14ac:dyDescent="0.2">
      <c r="A135" s="294"/>
      <c r="B135" s="308"/>
      <c r="C135" s="308"/>
      <c r="D135" s="374"/>
      <c r="E135" s="180"/>
      <c r="F135" s="202"/>
      <c r="G135" s="203"/>
      <c r="H135" s="302"/>
      <c r="I135" s="308"/>
      <c r="J135" s="308"/>
      <c r="K135" s="302"/>
      <c r="L135" s="308"/>
      <c r="M135" s="308"/>
      <c r="N135" s="308"/>
      <c r="O135" s="308"/>
      <c r="P135" s="277"/>
      <c r="Q135" s="277"/>
      <c r="R135" s="277"/>
      <c r="S135" s="277"/>
      <c r="T135" s="277"/>
      <c r="U135" s="277"/>
      <c r="V135" s="277"/>
      <c r="W135" s="277"/>
    </row>
    <row r="136" spans="1:23" s="278" customFormat="1" ht="22.5" customHeight="1" x14ac:dyDescent="0.2">
      <c r="A136" s="294"/>
      <c r="B136" s="308"/>
      <c r="C136" s="308"/>
      <c r="D136" s="374"/>
      <c r="E136" s="179"/>
      <c r="F136" s="204"/>
      <c r="G136" s="205"/>
      <c r="H136" s="302"/>
      <c r="I136" s="308"/>
      <c r="J136" s="308"/>
      <c r="K136" s="302"/>
      <c r="L136" s="308"/>
      <c r="M136" s="308"/>
      <c r="N136" s="308"/>
      <c r="O136" s="308"/>
      <c r="P136" s="277"/>
      <c r="Q136" s="277"/>
      <c r="R136" s="277"/>
      <c r="S136" s="277"/>
      <c r="T136" s="277"/>
      <c r="U136" s="277"/>
      <c r="V136" s="277"/>
      <c r="W136" s="277"/>
    </row>
    <row r="137" spans="1:23" s="278" customFormat="1" ht="22.5" customHeight="1" x14ac:dyDescent="0.2">
      <c r="A137" s="294"/>
      <c r="B137" s="308"/>
      <c r="C137" s="308"/>
      <c r="D137" s="374"/>
      <c r="E137" s="180"/>
      <c r="F137" s="202"/>
      <c r="G137" s="203"/>
      <c r="H137" s="302"/>
      <c r="I137" s="308"/>
      <c r="J137" s="308"/>
      <c r="K137" s="302"/>
      <c r="L137" s="308"/>
      <c r="M137" s="308"/>
      <c r="N137" s="308"/>
      <c r="O137" s="308"/>
      <c r="P137" s="277"/>
      <c r="Q137" s="277"/>
      <c r="R137" s="277"/>
      <c r="S137" s="277"/>
      <c r="T137" s="277"/>
      <c r="U137" s="277"/>
      <c r="V137" s="277"/>
      <c r="W137" s="277"/>
    </row>
    <row r="138" spans="1:23" s="278" customFormat="1" ht="22.5" customHeight="1" x14ac:dyDescent="0.2">
      <c r="A138" s="294"/>
      <c r="B138" s="308"/>
      <c r="C138" s="308"/>
      <c r="D138" s="374"/>
      <c r="E138" s="179"/>
      <c r="F138" s="204"/>
      <c r="G138" s="205"/>
      <c r="H138" s="302"/>
      <c r="I138" s="308"/>
      <c r="J138" s="308"/>
      <c r="K138" s="302"/>
      <c r="L138" s="308"/>
      <c r="M138" s="308"/>
      <c r="N138" s="308"/>
      <c r="O138" s="308"/>
      <c r="P138" s="277"/>
      <c r="Q138" s="277"/>
      <c r="R138" s="277"/>
      <c r="S138" s="277"/>
      <c r="T138" s="277"/>
      <c r="U138" s="277"/>
      <c r="V138" s="277"/>
      <c r="W138" s="277"/>
    </row>
    <row r="139" spans="1:23" s="278" customFormat="1" ht="22.5" customHeight="1" x14ac:dyDescent="0.2">
      <c r="A139" s="294"/>
      <c r="B139" s="308"/>
      <c r="C139" s="308"/>
      <c r="D139" s="374"/>
      <c r="E139" s="180"/>
      <c r="F139" s="202"/>
      <c r="G139" s="203"/>
      <c r="H139" s="302"/>
      <c r="I139" s="308"/>
      <c r="J139" s="308"/>
      <c r="K139" s="302"/>
      <c r="L139" s="308"/>
      <c r="M139" s="308"/>
      <c r="N139" s="308"/>
      <c r="O139" s="308"/>
      <c r="P139" s="277"/>
      <c r="Q139" s="277"/>
      <c r="R139" s="277"/>
      <c r="S139" s="277"/>
      <c r="T139" s="277"/>
      <c r="U139" s="277"/>
      <c r="V139" s="277"/>
      <c r="W139" s="277"/>
    </row>
    <row r="140" spans="1:23" s="278" customFormat="1" ht="22.5" customHeight="1" x14ac:dyDescent="0.2">
      <c r="A140" s="294"/>
      <c r="B140" s="308"/>
      <c r="C140" s="308"/>
      <c r="D140" s="374"/>
      <c r="E140" s="179"/>
      <c r="F140" s="204"/>
      <c r="G140" s="205"/>
      <c r="H140" s="302"/>
      <c r="I140" s="308"/>
      <c r="J140" s="308"/>
      <c r="K140" s="302"/>
      <c r="L140" s="308"/>
      <c r="M140" s="308"/>
      <c r="N140" s="308"/>
      <c r="O140" s="308"/>
      <c r="P140" s="277"/>
      <c r="Q140" s="277"/>
      <c r="R140" s="277"/>
      <c r="S140" s="277"/>
      <c r="T140" s="277"/>
      <c r="U140" s="277"/>
      <c r="V140" s="277"/>
      <c r="W140" s="277"/>
    </row>
    <row r="141" spans="1:23" s="278" customFormat="1" ht="22.5" customHeight="1" x14ac:dyDescent="0.2">
      <c r="A141" s="294"/>
      <c r="B141" s="308"/>
      <c r="C141" s="308"/>
      <c r="D141" s="374"/>
      <c r="E141" s="180"/>
      <c r="F141" s="202"/>
      <c r="G141" s="203"/>
      <c r="H141" s="302"/>
      <c r="I141" s="308"/>
      <c r="J141" s="308"/>
      <c r="K141" s="302"/>
      <c r="L141" s="308"/>
      <c r="M141" s="308"/>
      <c r="N141" s="308"/>
      <c r="O141" s="308"/>
      <c r="P141" s="277"/>
      <c r="Q141" s="277"/>
      <c r="R141" s="277"/>
      <c r="S141" s="277"/>
      <c r="T141" s="277"/>
      <c r="U141" s="277"/>
      <c r="V141" s="277"/>
      <c r="W141" s="277"/>
    </row>
    <row r="142" spans="1:23" s="278" customFormat="1" ht="22.5" customHeight="1" x14ac:dyDescent="0.2">
      <c r="A142" s="294"/>
      <c r="B142" s="308"/>
      <c r="C142" s="308"/>
      <c r="D142" s="374"/>
      <c r="E142" s="179"/>
      <c r="F142" s="204"/>
      <c r="G142" s="205"/>
      <c r="H142" s="302"/>
      <c r="I142" s="308"/>
      <c r="J142" s="308"/>
      <c r="K142" s="302"/>
      <c r="L142" s="308"/>
      <c r="M142" s="308"/>
      <c r="N142" s="308"/>
      <c r="O142" s="308"/>
      <c r="P142" s="277"/>
      <c r="Q142" s="277"/>
      <c r="R142" s="277"/>
      <c r="S142" s="277"/>
      <c r="T142" s="277"/>
      <c r="U142" s="277"/>
      <c r="V142" s="277"/>
      <c r="W142" s="277"/>
    </row>
    <row r="143" spans="1:23" s="278" customFormat="1" ht="22.5" customHeight="1" x14ac:dyDescent="0.2">
      <c r="A143" s="294"/>
      <c r="B143" s="308"/>
      <c r="C143" s="308"/>
      <c r="D143" s="374"/>
      <c r="E143" s="180"/>
      <c r="F143" s="202"/>
      <c r="G143" s="203"/>
      <c r="H143" s="302"/>
      <c r="I143" s="308"/>
      <c r="J143" s="308"/>
      <c r="K143" s="302"/>
      <c r="L143" s="308"/>
      <c r="M143" s="308"/>
      <c r="N143" s="308"/>
      <c r="O143" s="308"/>
      <c r="P143" s="277"/>
      <c r="Q143" s="277"/>
      <c r="R143" s="277"/>
      <c r="S143" s="277"/>
      <c r="T143" s="277"/>
      <c r="U143" s="277"/>
      <c r="V143" s="277"/>
      <c r="W143" s="277"/>
    </row>
    <row r="144" spans="1:23" s="278" customFormat="1" ht="22.5" customHeight="1" x14ac:dyDescent="0.2">
      <c r="A144" s="294"/>
      <c r="B144" s="308"/>
      <c r="C144" s="308"/>
      <c r="D144" s="374"/>
      <c r="E144" s="179"/>
      <c r="F144" s="204"/>
      <c r="G144" s="205"/>
      <c r="H144" s="302"/>
      <c r="I144" s="308"/>
      <c r="J144" s="308"/>
      <c r="K144" s="302"/>
      <c r="L144" s="308"/>
      <c r="M144" s="308"/>
      <c r="N144" s="308"/>
      <c r="O144" s="308"/>
      <c r="P144" s="277"/>
      <c r="Q144" s="277"/>
      <c r="R144" s="277"/>
      <c r="S144" s="277"/>
      <c r="T144" s="277"/>
      <c r="U144" s="277"/>
      <c r="V144" s="277"/>
      <c r="W144" s="277"/>
    </row>
    <row r="145" spans="1:23" s="278" customFormat="1" ht="22.5" customHeight="1" x14ac:dyDescent="0.2">
      <c r="A145" s="294"/>
      <c r="B145" s="308"/>
      <c r="C145" s="308"/>
      <c r="D145" s="374"/>
      <c r="E145" s="180"/>
      <c r="F145" s="202"/>
      <c r="G145" s="203"/>
      <c r="H145" s="302"/>
      <c r="I145" s="308"/>
      <c r="J145" s="308"/>
      <c r="K145" s="302"/>
      <c r="L145" s="308"/>
      <c r="M145" s="308"/>
      <c r="N145" s="308"/>
      <c r="O145" s="308"/>
      <c r="P145" s="277"/>
      <c r="Q145" s="277"/>
      <c r="R145" s="277"/>
      <c r="S145" s="277"/>
      <c r="T145" s="277"/>
      <c r="U145" s="277"/>
      <c r="V145" s="277"/>
      <c r="W145" s="277"/>
    </row>
    <row r="146" spans="1:23" s="278" customFormat="1" ht="22.5" customHeight="1" x14ac:dyDescent="0.2">
      <c r="A146" s="294"/>
      <c r="B146" s="308"/>
      <c r="C146" s="308"/>
      <c r="D146" s="374"/>
      <c r="E146" s="179"/>
      <c r="F146" s="204"/>
      <c r="G146" s="205"/>
      <c r="H146" s="302"/>
      <c r="I146" s="308"/>
      <c r="J146" s="308"/>
      <c r="K146" s="302"/>
      <c r="L146" s="308"/>
      <c r="M146" s="308"/>
      <c r="N146" s="308"/>
      <c r="O146" s="308"/>
      <c r="P146" s="277"/>
      <c r="Q146" s="277"/>
      <c r="R146" s="277"/>
      <c r="S146" s="277"/>
      <c r="T146" s="277"/>
      <c r="U146" s="277"/>
      <c r="V146" s="277"/>
      <c r="W146" s="277"/>
    </row>
    <row r="147" spans="1:23" s="278" customFormat="1" ht="22.5" customHeight="1" x14ac:dyDescent="0.2">
      <c r="A147" s="294"/>
      <c r="B147" s="308"/>
      <c r="C147" s="308"/>
      <c r="D147" s="374"/>
      <c r="E147" s="180"/>
      <c r="F147" s="202"/>
      <c r="G147" s="203"/>
      <c r="H147" s="302"/>
      <c r="I147" s="308"/>
      <c r="J147" s="308"/>
      <c r="K147" s="302"/>
      <c r="L147" s="308"/>
      <c r="M147" s="308"/>
      <c r="N147" s="308"/>
      <c r="O147" s="308"/>
      <c r="P147" s="277"/>
      <c r="Q147" s="277"/>
      <c r="R147" s="277"/>
      <c r="S147" s="277"/>
      <c r="T147" s="277"/>
      <c r="U147" s="277"/>
      <c r="V147" s="277"/>
      <c r="W147" s="277"/>
    </row>
    <row r="148" spans="1:23" s="278" customFormat="1" ht="22.5" customHeight="1" x14ac:dyDescent="0.2">
      <c r="A148" s="294"/>
      <c r="B148" s="308"/>
      <c r="C148" s="308"/>
      <c r="D148" s="374"/>
      <c r="E148" s="179"/>
      <c r="F148" s="204"/>
      <c r="G148" s="205"/>
      <c r="H148" s="302"/>
      <c r="I148" s="308"/>
      <c r="J148" s="308"/>
      <c r="K148" s="302"/>
      <c r="L148" s="308"/>
      <c r="M148" s="308"/>
      <c r="N148" s="308"/>
      <c r="O148" s="308"/>
      <c r="P148" s="277"/>
      <c r="Q148" s="277"/>
      <c r="R148" s="277"/>
      <c r="S148" s="277"/>
      <c r="T148" s="277"/>
      <c r="U148" s="277"/>
      <c r="V148" s="277"/>
      <c r="W148" s="277"/>
    </row>
    <row r="149" spans="1:23" s="278" customFormat="1" ht="22.5" customHeight="1" x14ac:dyDescent="0.2">
      <c r="A149" s="294"/>
      <c r="B149" s="308"/>
      <c r="C149" s="308"/>
      <c r="D149" s="374"/>
      <c r="E149" s="180"/>
      <c r="F149" s="202"/>
      <c r="G149" s="203"/>
      <c r="H149" s="302"/>
      <c r="I149" s="308"/>
      <c r="J149" s="308"/>
      <c r="K149" s="302"/>
      <c r="L149" s="308"/>
      <c r="M149" s="308"/>
      <c r="N149" s="308"/>
      <c r="O149" s="308"/>
      <c r="P149" s="277"/>
      <c r="Q149" s="277"/>
      <c r="R149" s="277"/>
      <c r="S149" s="277"/>
      <c r="T149" s="277"/>
      <c r="U149" s="277"/>
      <c r="V149" s="277"/>
      <c r="W149" s="277"/>
    </row>
    <row r="150" spans="1:23" s="278" customFormat="1" ht="22.5" customHeight="1" x14ac:dyDescent="0.2">
      <c r="A150" s="294"/>
      <c r="B150" s="308"/>
      <c r="C150" s="308"/>
      <c r="D150" s="374"/>
      <c r="E150" s="179"/>
      <c r="F150" s="204"/>
      <c r="G150" s="205"/>
      <c r="H150" s="302"/>
      <c r="I150" s="308"/>
      <c r="J150" s="308"/>
      <c r="K150" s="302"/>
      <c r="L150" s="308"/>
      <c r="M150" s="308"/>
      <c r="N150" s="308"/>
      <c r="O150" s="308"/>
      <c r="P150" s="277"/>
      <c r="Q150" s="277"/>
      <c r="R150" s="277"/>
      <c r="S150" s="277"/>
      <c r="T150" s="277"/>
      <c r="U150" s="277"/>
      <c r="V150" s="277"/>
      <c r="W150" s="277"/>
    </row>
    <row r="151" spans="1:23" s="278" customFormat="1" ht="22.5" customHeight="1" x14ac:dyDescent="0.2">
      <c r="A151" s="294"/>
      <c r="B151" s="308"/>
      <c r="C151" s="308"/>
      <c r="D151" s="374"/>
      <c r="E151" s="180"/>
      <c r="F151" s="202"/>
      <c r="G151" s="203"/>
      <c r="H151" s="302"/>
      <c r="I151" s="308"/>
      <c r="J151" s="308"/>
      <c r="K151" s="302"/>
      <c r="L151" s="308"/>
      <c r="M151" s="308"/>
      <c r="N151" s="308"/>
      <c r="O151" s="308"/>
      <c r="P151" s="277"/>
      <c r="Q151" s="277"/>
      <c r="R151" s="277"/>
      <c r="S151" s="277"/>
      <c r="T151" s="277"/>
      <c r="U151" s="277"/>
      <c r="V151" s="277"/>
      <c r="W151" s="277"/>
    </row>
    <row r="152" spans="1:23" s="278" customFormat="1" ht="22.5" customHeight="1" x14ac:dyDescent="0.2">
      <c r="A152" s="294"/>
      <c r="B152" s="308"/>
      <c r="C152" s="308"/>
      <c r="D152" s="374"/>
      <c r="E152" s="179"/>
      <c r="F152" s="204"/>
      <c r="G152" s="205"/>
      <c r="H152" s="302"/>
      <c r="I152" s="308"/>
      <c r="J152" s="308"/>
      <c r="K152" s="302"/>
      <c r="L152" s="308"/>
      <c r="M152" s="308"/>
      <c r="N152" s="308"/>
      <c r="O152" s="308"/>
      <c r="P152" s="277"/>
      <c r="Q152" s="277"/>
      <c r="R152" s="277"/>
      <c r="S152" s="277"/>
      <c r="T152" s="277"/>
      <c r="U152" s="277"/>
      <c r="V152" s="277"/>
      <c r="W152" s="277"/>
    </row>
    <row r="153" spans="1:23" s="278" customFormat="1" ht="22.5" customHeight="1" x14ac:dyDescent="0.2">
      <c r="A153" s="294"/>
      <c r="B153" s="308"/>
      <c r="C153" s="308"/>
      <c r="D153" s="374"/>
      <c r="E153" s="180"/>
      <c r="F153" s="202"/>
      <c r="G153" s="203"/>
      <c r="H153" s="302"/>
      <c r="I153" s="308"/>
      <c r="J153" s="308"/>
      <c r="K153" s="302"/>
      <c r="L153" s="308"/>
      <c r="M153" s="308"/>
      <c r="N153" s="308"/>
      <c r="O153" s="308"/>
      <c r="P153" s="277"/>
      <c r="Q153" s="277"/>
      <c r="R153" s="277"/>
      <c r="S153" s="277"/>
      <c r="T153" s="277"/>
      <c r="U153" s="277"/>
      <c r="V153" s="277"/>
      <c r="W153" s="277"/>
    </row>
    <row r="154" spans="1:23" s="278" customFormat="1" ht="22.5" customHeight="1" x14ac:dyDescent="0.2">
      <c r="A154" s="294"/>
      <c r="B154" s="308"/>
      <c r="C154" s="308"/>
      <c r="D154" s="374"/>
      <c r="E154" s="179"/>
      <c r="F154" s="204"/>
      <c r="G154" s="205"/>
      <c r="H154" s="302"/>
      <c r="I154" s="308"/>
      <c r="J154" s="308"/>
      <c r="K154" s="302"/>
      <c r="L154" s="308"/>
      <c r="M154" s="308"/>
      <c r="N154" s="308"/>
      <c r="O154" s="308"/>
      <c r="P154" s="277"/>
      <c r="Q154" s="277"/>
      <c r="R154" s="277"/>
      <c r="S154" s="277"/>
      <c r="T154" s="277"/>
      <c r="U154" s="277"/>
      <c r="V154" s="277"/>
      <c r="W154" s="277"/>
    </row>
    <row r="155" spans="1:23" s="278" customFormat="1" ht="22.5" customHeight="1" x14ac:dyDescent="0.2">
      <c r="A155" s="294"/>
      <c r="B155" s="308"/>
      <c r="C155" s="308"/>
      <c r="D155" s="374"/>
      <c r="E155" s="180"/>
      <c r="F155" s="202"/>
      <c r="G155" s="203"/>
      <c r="H155" s="302"/>
      <c r="I155" s="308"/>
      <c r="J155" s="308"/>
      <c r="K155" s="302"/>
      <c r="L155" s="308"/>
      <c r="M155" s="308"/>
      <c r="N155" s="308"/>
      <c r="O155" s="308"/>
      <c r="P155" s="277"/>
      <c r="Q155" s="277"/>
      <c r="R155" s="277"/>
      <c r="S155" s="277"/>
      <c r="T155" s="277"/>
      <c r="U155" s="277"/>
      <c r="V155" s="277"/>
      <c r="W155" s="277"/>
    </row>
    <row r="156" spans="1:23" s="278" customFormat="1" ht="22.5" customHeight="1" x14ac:dyDescent="0.2">
      <c r="A156" s="294"/>
      <c r="B156" s="308"/>
      <c r="C156" s="308"/>
      <c r="D156" s="374"/>
      <c r="E156" s="179"/>
      <c r="F156" s="204"/>
      <c r="G156" s="205"/>
      <c r="H156" s="302"/>
      <c r="I156" s="308"/>
      <c r="J156" s="308"/>
      <c r="K156" s="302"/>
      <c r="L156" s="308"/>
      <c r="M156" s="308"/>
      <c r="N156" s="308"/>
      <c r="O156" s="308"/>
      <c r="P156" s="277"/>
      <c r="Q156" s="277"/>
      <c r="R156" s="277"/>
      <c r="S156" s="277"/>
      <c r="T156" s="277"/>
      <c r="U156" s="277"/>
      <c r="V156" s="277"/>
      <c r="W156" s="277"/>
    </row>
    <row r="157" spans="1:23" s="278" customFormat="1" ht="22.5" customHeight="1" x14ac:dyDescent="0.2">
      <c r="A157" s="294"/>
      <c r="B157" s="308"/>
      <c r="C157" s="308"/>
      <c r="D157" s="374"/>
      <c r="E157" s="180"/>
      <c r="F157" s="202"/>
      <c r="G157" s="203"/>
      <c r="H157" s="302"/>
      <c r="I157" s="308"/>
      <c r="J157" s="308"/>
      <c r="K157" s="302"/>
      <c r="L157" s="308"/>
      <c r="M157" s="308"/>
      <c r="N157" s="308"/>
      <c r="O157" s="308"/>
      <c r="P157" s="277"/>
      <c r="Q157" s="277"/>
      <c r="R157" s="277"/>
      <c r="S157" s="277"/>
      <c r="T157" s="277"/>
      <c r="U157" s="277"/>
      <c r="V157" s="277"/>
      <c r="W157" s="277"/>
    </row>
    <row r="158" spans="1:23" s="278" customFormat="1" ht="22.5" customHeight="1" x14ac:dyDescent="0.2">
      <c r="A158" s="294"/>
      <c r="B158" s="308"/>
      <c r="C158" s="308"/>
      <c r="D158" s="374"/>
      <c r="E158" s="179"/>
      <c r="F158" s="204"/>
      <c r="G158" s="205"/>
      <c r="H158" s="302"/>
      <c r="I158" s="308"/>
      <c r="J158" s="308"/>
      <c r="K158" s="302"/>
      <c r="L158" s="308"/>
      <c r="M158" s="308"/>
      <c r="N158" s="308"/>
      <c r="O158" s="308"/>
      <c r="P158" s="277"/>
      <c r="Q158" s="277"/>
      <c r="R158" s="277"/>
      <c r="S158" s="277"/>
      <c r="T158" s="277"/>
      <c r="U158" s="277"/>
      <c r="V158" s="277"/>
      <c r="W158" s="277"/>
    </row>
    <row r="159" spans="1:23" s="278" customFormat="1" ht="22.5" customHeight="1" x14ac:dyDescent="0.2">
      <c r="A159" s="294"/>
      <c r="B159" s="308"/>
      <c r="C159" s="308"/>
      <c r="D159" s="374"/>
      <c r="E159" s="180"/>
      <c r="F159" s="202"/>
      <c r="G159" s="203"/>
      <c r="H159" s="302"/>
      <c r="I159" s="308"/>
      <c r="J159" s="308"/>
      <c r="K159" s="302"/>
      <c r="L159" s="308"/>
      <c r="M159" s="308"/>
      <c r="N159" s="308"/>
      <c r="O159" s="308"/>
      <c r="P159" s="277"/>
      <c r="Q159" s="277"/>
      <c r="R159" s="277"/>
      <c r="S159" s="277"/>
      <c r="T159" s="277"/>
      <c r="U159" s="277"/>
      <c r="V159" s="277"/>
      <c r="W159" s="277"/>
    </row>
    <row r="160" spans="1:23" s="278" customFormat="1" ht="22.5" customHeight="1" x14ac:dyDescent="0.2">
      <c r="A160" s="294"/>
      <c r="B160" s="308"/>
      <c r="C160" s="308"/>
      <c r="D160" s="374"/>
      <c r="E160" s="179"/>
      <c r="F160" s="204"/>
      <c r="G160" s="205"/>
      <c r="H160" s="302"/>
      <c r="I160" s="308"/>
      <c r="J160" s="308"/>
      <c r="K160" s="302"/>
      <c r="L160" s="308"/>
      <c r="M160" s="308"/>
      <c r="N160" s="308"/>
      <c r="O160" s="308"/>
      <c r="P160" s="277"/>
      <c r="Q160" s="277"/>
      <c r="R160" s="277"/>
      <c r="S160" s="277"/>
      <c r="T160" s="277"/>
      <c r="U160" s="277"/>
      <c r="V160" s="277"/>
      <c r="W160" s="277"/>
    </row>
    <row r="161" spans="1:23" s="278" customFormat="1" ht="22.5" customHeight="1" x14ac:dyDescent="0.2">
      <c r="A161" s="294"/>
      <c r="B161" s="308"/>
      <c r="C161" s="308"/>
      <c r="D161" s="374"/>
      <c r="E161" s="180"/>
      <c r="F161" s="202"/>
      <c r="G161" s="203"/>
      <c r="H161" s="302"/>
      <c r="I161" s="308"/>
      <c r="J161" s="308"/>
      <c r="K161" s="302"/>
      <c r="L161" s="308"/>
      <c r="M161" s="308"/>
      <c r="N161" s="308"/>
      <c r="O161" s="308"/>
      <c r="P161" s="277"/>
      <c r="Q161" s="277"/>
      <c r="R161" s="277"/>
      <c r="S161" s="277"/>
      <c r="T161" s="277"/>
      <c r="U161" s="277"/>
      <c r="V161" s="277"/>
      <c r="W161" s="277"/>
    </row>
    <row r="162" spans="1:23" s="278" customFormat="1" ht="22.5" customHeight="1" x14ac:dyDescent="0.2">
      <c r="A162" s="294"/>
      <c r="B162" s="308"/>
      <c r="C162" s="308"/>
      <c r="D162" s="374"/>
      <c r="E162" s="179"/>
      <c r="F162" s="204"/>
      <c r="G162" s="205"/>
      <c r="H162" s="302"/>
      <c r="I162" s="308"/>
      <c r="J162" s="308"/>
      <c r="K162" s="302"/>
      <c r="L162" s="308"/>
      <c r="M162" s="308"/>
      <c r="N162" s="308"/>
      <c r="O162" s="308"/>
      <c r="P162" s="277"/>
      <c r="Q162" s="277"/>
      <c r="R162" s="277"/>
      <c r="S162" s="277"/>
      <c r="T162" s="277"/>
      <c r="U162" s="277"/>
      <c r="V162" s="277"/>
      <c r="W162" s="277"/>
    </row>
    <row r="163" spans="1:23" s="278" customFormat="1" ht="22.5" customHeight="1" x14ac:dyDescent="0.2">
      <c r="A163" s="294"/>
      <c r="B163" s="308"/>
      <c r="C163" s="308"/>
      <c r="D163" s="374"/>
      <c r="E163" s="180"/>
      <c r="F163" s="202"/>
      <c r="G163" s="203"/>
      <c r="H163" s="302"/>
      <c r="I163" s="308"/>
      <c r="J163" s="308"/>
      <c r="K163" s="302"/>
      <c r="L163" s="308"/>
      <c r="M163" s="308"/>
      <c r="N163" s="308"/>
      <c r="O163" s="308"/>
      <c r="P163" s="277"/>
      <c r="Q163" s="277"/>
      <c r="R163" s="277"/>
      <c r="S163" s="277"/>
      <c r="T163" s="277"/>
      <c r="U163" s="277"/>
      <c r="V163" s="277"/>
      <c r="W163" s="277"/>
    </row>
    <row r="164" spans="1:23" s="278" customFormat="1" ht="22.5" customHeight="1" x14ac:dyDescent="0.2">
      <c r="A164" s="294"/>
      <c r="B164" s="308"/>
      <c r="C164" s="308"/>
      <c r="D164" s="302"/>
      <c r="E164" s="179"/>
      <c r="F164" s="204"/>
      <c r="G164" s="205"/>
      <c r="H164" s="302"/>
      <c r="I164" s="308"/>
      <c r="J164" s="308"/>
      <c r="K164" s="302"/>
      <c r="L164" s="308"/>
      <c r="M164" s="308"/>
      <c r="N164" s="308"/>
      <c r="O164" s="308"/>
      <c r="P164" s="277"/>
      <c r="Q164" s="277"/>
      <c r="R164" s="277"/>
      <c r="S164" s="277"/>
      <c r="T164" s="277"/>
      <c r="U164" s="277"/>
      <c r="V164" s="277"/>
      <c r="W164" s="277"/>
    </row>
    <row r="165" spans="1:23" s="278" customFormat="1" ht="22.5" customHeight="1" x14ac:dyDescent="0.2">
      <c r="A165" s="294"/>
      <c r="B165" s="308"/>
      <c r="C165" s="308"/>
      <c r="D165" s="302"/>
      <c r="E165" s="180"/>
      <c r="F165" s="202"/>
      <c r="G165" s="203"/>
      <c r="H165" s="302"/>
      <c r="I165" s="308"/>
      <c r="J165" s="308"/>
      <c r="K165" s="302"/>
      <c r="L165" s="308"/>
      <c r="M165" s="308"/>
      <c r="N165" s="308"/>
      <c r="O165" s="308"/>
      <c r="P165" s="277"/>
      <c r="Q165" s="277"/>
      <c r="R165" s="277"/>
      <c r="S165" s="277"/>
      <c r="T165" s="277"/>
      <c r="U165" s="277"/>
      <c r="V165" s="277"/>
      <c r="W165" s="277"/>
    </row>
    <row r="166" spans="1:23" s="278" customFormat="1" ht="22.5" customHeight="1" x14ac:dyDescent="0.2">
      <c r="A166" s="294"/>
      <c r="B166" s="308"/>
      <c r="C166" s="308"/>
      <c r="D166" s="302"/>
      <c r="E166" s="179"/>
      <c r="F166" s="204"/>
      <c r="G166" s="205"/>
      <c r="H166" s="302"/>
      <c r="I166" s="308"/>
      <c r="J166" s="308"/>
      <c r="K166" s="302"/>
      <c r="L166" s="308"/>
      <c r="M166" s="308"/>
      <c r="N166" s="308"/>
      <c r="O166" s="308"/>
      <c r="P166" s="277"/>
      <c r="Q166" s="277"/>
      <c r="R166" s="277"/>
      <c r="S166" s="277"/>
      <c r="T166" s="277"/>
      <c r="U166" s="277"/>
      <c r="V166" s="277"/>
      <c r="W166" s="277"/>
    </row>
    <row r="167" spans="1:23" s="278" customFormat="1" ht="22.5" customHeight="1" x14ac:dyDescent="0.2">
      <c r="A167" s="294"/>
      <c r="B167" s="308"/>
      <c r="C167" s="308"/>
      <c r="D167" s="302"/>
      <c r="E167" s="180"/>
      <c r="F167" s="202"/>
      <c r="G167" s="203"/>
      <c r="H167" s="302"/>
      <c r="I167" s="308"/>
      <c r="J167" s="308"/>
      <c r="K167" s="302"/>
      <c r="L167" s="308"/>
      <c r="M167" s="308"/>
      <c r="N167" s="308"/>
      <c r="O167" s="308"/>
      <c r="P167" s="277"/>
      <c r="Q167" s="277"/>
      <c r="R167" s="277"/>
      <c r="S167" s="277"/>
      <c r="T167" s="277"/>
      <c r="U167" s="277"/>
      <c r="V167" s="277"/>
      <c r="W167" s="277"/>
    </row>
    <row r="168" spans="1:23" s="278" customFormat="1" ht="22.5" customHeight="1" x14ac:dyDescent="0.2">
      <c r="A168" s="294"/>
      <c r="B168" s="308"/>
      <c r="C168" s="308"/>
      <c r="D168" s="302"/>
      <c r="E168" s="179"/>
      <c r="F168" s="204"/>
      <c r="G168" s="205"/>
      <c r="H168" s="302"/>
      <c r="I168" s="308"/>
      <c r="J168" s="308"/>
      <c r="K168" s="302"/>
      <c r="L168" s="308"/>
      <c r="M168" s="308"/>
      <c r="N168" s="308"/>
      <c r="O168" s="308"/>
      <c r="P168" s="277"/>
      <c r="Q168" s="277"/>
      <c r="R168" s="277"/>
      <c r="S168" s="277"/>
      <c r="T168" s="277"/>
      <c r="U168" s="277"/>
      <c r="V168" s="277"/>
      <c r="W168" s="277"/>
    </row>
    <row r="169" spans="1:23" s="278" customFormat="1" ht="22.5" customHeight="1" x14ac:dyDescent="0.2">
      <c r="A169" s="294"/>
      <c r="B169" s="308"/>
      <c r="C169" s="308"/>
      <c r="D169" s="302"/>
      <c r="E169" s="180"/>
      <c r="F169" s="202"/>
      <c r="G169" s="203"/>
      <c r="H169" s="302"/>
      <c r="I169" s="308"/>
      <c r="J169" s="308"/>
      <c r="K169" s="302"/>
      <c r="L169" s="308"/>
      <c r="M169" s="308"/>
      <c r="N169" s="308"/>
      <c r="O169" s="308"/>
      <c r="P169" s="277"/>
      <c r="Q169" s="277"/>
      <c r="R169" s="277"/>
      <c r="S169" s="277"/>
      <c r="T169" s="277"/>
      <c r="U169" s="277"/>
      <c r="V169" s="277"/>
      <c r="W169" s="277"/>
    </row>
    <row r="170" spans="1:23" s="278" customFormat="1" ht="22.5" customHeight="1" x14ac:dyDescent="0.2">
      <c r="A170" s="294"/>
      <c r="B170" s="308"/>
      <c r="C170" s="308"/>
      <c r="D170" s="302"/>
      <c r="E170" s="179"/>
      <c r="F170" s="204"/>
      <c r="G170" s="205"/>
      <c r="H170" s="302"/>
      <c r="I170" s="308"/>
      <c r="J170" s="308"/>
      <c r="K170" s="302"/>
      <c r="L170" s="308"/>
      <c r="M170" s="308"/>
      <c r="N170" s="308"/>
      <c r="O170" s="308"/>
      <c r="P170" s="277"/>
      <c r="Q170" s="277"/>
      <c r="R170" s="277"/>
      <c r="S170" s="277"/>
      <c r="T170" s="277"/>
      <c r="U170" s="277"/>
      <c r="V170" s="277"/>
      <c r="W170" s="277"/>
    </row>
    <row r="171" spans="1:23" s="278" customFormat="1" ht="22.5" customHeight="1" x14ac:dyDescent="0.2">
      <c r="A171" s="294"/>
      <c r="B171" s="308"/>
      <c r="C171" s="308"/>
      <c r="D171" s="302"/>
      <c r="E171" s="180"/>
      <c r="F171" s="202"/>
      <c r="G171" s="203"/>
      <c r="H171" s="302"/>
      <c r="I171" s="308"/>
      <c r="J171" s="308"/>
      <c r="K171" s="302"/>
      <c r="L171" s="308"/>
      <c r="M171" s="308"/>
      <c r="N171" s="308"/>
      <c r="O171" s="308"/>
      <c r="P171" s="277"/>
      <c r="Q171" s="277"/>
      <c r="R171" s="277"/>
      <c r="S171" s="277"/>
      <c r="T171" s="277"/>
      <c r="U171" s="277"/>
      <c r="V171" s="277"/>
      <c r="W171" s="277"/>
    </row>
    <row r="172" spans="1:23" s="278" customFormat="1" ht="22.5" customHeight="1" x14ac:dyDescent="0.2">
      <c r="A172" s="294"/>
      <c r="B172" s="308"/>
      <c r="C172" s="308"/>
      <c r="D172" s="302"/>
      <c r="E172" s="179"/>
      <c r="F172" s="204"/>
      <c r="G172" s="205"/>
      <c r="H172" s="302"/>
      <c r="I172" s="308"/>
      <c r="J172" s="308"/>
      <c r="K172" s="302"/>
      <c r="L172" s="308"/>
      <c r="M172" s="308"/>
      <c r="N172" s="308"/>
      <c r="O172" s="308"/>
      <c r="P172" s="277"/>
      <c r="Q172" s="277"/>
      <c r="R172" s="277"/>
      <c r="S172" s="277"/>
      <c r="T172" s="277"/>
      <c r="U172" s="277"/>
      <c r="V172" s="277"/>
      <c r="W172" s="277"/>
    </row>
    <row r="173" spans="1:23" s="278" customFormat="1" ht="22.5" customHeight="1" x14ac:dyDescent="0.2">
      <c r="A173" s="294"/>
      <c r="B173" s="308"/>
      <c r="C173" s="308"/>
      <c r="D173" s="302"/>
      <c r="E173" s="180"/>
      <c r="F173" s="202"/>
      <c r="G173" s="203"/>
      <c r="H173" s="302"/>
      <c r="I173" s="308"/>
      <c r="J173" s="308"/>
      <c r="K173" s="302"/>
      <c r="L173" s="308"/>
      <c r="M173" s="308"/>
      <c r="N173" s="308"/>
      <c r="O173" s="308"/>
      <c r="P173" s="277"/>
      <c r="Q173" s="277"/>
      <c r="R173" s="277"/>
      <c r="S173" s="277"/>
      <c r="T173" s="277"/>
      <c r="U173" s="277"/>
      <c r="V173" s="277"/>
      <c r="W173" s="277"/>
    </row>
    <row r="174" spans="1:23" s="278" customFormat="1" ht="22.5" customHeight="1" x14ac:dyDescent="0.2">
      <c r="A174" s="294"/>
      <c r="B174" s="308"/>
      <c r="C174" s="308"/>
      <c r="D174" s="302"/>
      <c r="E174" s="179"/>
      <c r="F174" s="204"/>
      <c r="G174" s="205"/>
      <c r="H174" s="302"/>
      <c r="I174" s="308"/>
      <c r="J174" s="308"/>
      <c r="K174" s="302"/>
      <c r="L174" s="308"/>
      <c r="M174" s="308"/>
      <c r="N174" s="308"/>
      <c r="O174" s="308"/>
      <c r="P174" s="277"/>
      <c r="Q174" s="277"/>
      <c r="R174" s="277"/>
      <c r="S174" s="277"/>
      <c r="T174" s="277"/>
      <c r="U174" s="277"/>
      <c r="V174" s="277"/>
      <c r="W174" s="277"/>
    </row>
    <row r="175" spans="1:23" s="278" customFormat="1" ht="22.5" customHeight="1" x14ac:dyDescent="0.2">
      <c r="A175" s="294"/>
      <c r="B175" s="308"/>
      <c r="C175" s="308"/>
      <c r="D175" s="302"/>
      <c r="E175" s="180"/>
      <c r="F175" s="202"/>
      <c r="G175" s="203"/>
      <c r="H175" s="302"/>
      <c r="I175" s="308"/>
      <c r="J175" s="308"/>
      <c r="K175" s="302"/>
      <c r="L175" s="308"/>
      <c r="M175" s="308"/>
      <c r="N175" s="308"/>
      <c r="O175" s="308"/>
      <c r="P175" s="277"/>
      <c r="Q175" s="277"/>
      <c r="R175" s="277"/>
      <c r="S175" s="277"/>
      <c r="T175" s="277"/>
      <c r="U175" s="277"/>
      <c r="V175" s="277"/>
      <c r="W175" s="277"/>
    </row>
    <row r="176" spans="1:23" s="278" customFormat="1" ht="22.5" customHeight="1" x14ac:dyDescent="0.2">
      <c r="A176" s="294"/>
      <c r="B176" s="308"/>
      <c r="C176" s="308"/>
      <c r="D176" s="302"/>
      <c r="E176" s="179"/>
      <c r="F176" s="204"/>
      <c r="G176" s="205"/>
      <c r="H176" s="302"/>
      <c r="I176" s="308"/>
      <c r="J176" s="308"/>
      <c r="K176" s="302"/>
      <c r="L176" s="308"/>
      <c r="M176" s="308"/>
      <c r="N176" s="308"/>
      <c r="O176" s="308"/>
      <c r="P176" s="277"/>
      <c r="Q176" s="277"/>
      <c r="R176" s="277"/>
      <c r="S176" s="277"/>
      <c r="T176" s="277"/>
      <c r="U176" s="277"/>
      <c r="V176" s="277"/>
      <c r="W176" s="277"/>
    </row>
    <row r="177" spans="1:23" s="278" customFormat="1" ht="22.5" customHeight="1" x14ac:dyDescent="0.2">
      <c r="A177" s="294"/>
      <c r="B177" s="308"/>
      <c r="C177" s="308"/>
      <c r="D177" s="302"/>
      <c r="E177" s="180"/>
      <c r="F177" s="202"/>
      <c r="G177" s="203"/>
      <c r="H177" s="302"/>
      <c r="I177" s="308"/>
      <c r="J177" s="308"/>
      <c r="K177" s="302"/>
      <c r="L177" s="308"/>
      <c r="M177" s="308"/>
      <c r="N177" s="308"/>
      <c r="O177" s="308"/>
      <c r="P177" s="277"/>
      <c r="Q177" s="277"/>
      <c r="R177" s="277"/>
      <c r="S177" s="277"/>
      <c r="T177" s="277"/>
      <c r="U177" s="277"/>
      <c r="V177" s="277"/>
      <c r="W177" s="277"/>
    </row>
    <row r="178" spans="1:23" s="278" customFormat="1" ht="22.5" customHeight="1" x14ac:dyDescent="0.2">
      <c r="A178" s="294"/>
      <c r="B178" s="308"/>
      <c r="C178" s="308"/>
      <c r="D178" s="302"/>
      <c r="E178" s="179"/>
      <c r="F178" s="204"/>
      <c r="G178" s="205"/>
      <c r="H178" s="302"/>
      <c r="I178" s="308"/>
      <c r="J178" s="308"/>
      <c r="K178" s="302"/>
      <c r="L178" s="308"/>
      <c r="M178" s="308"/>
      <c r="N178" s="308"/>
      <c r="O178" s="308"/>
      <c r="P178" s="277"/>
      <c r="Q178" s="277"/>
      <c r="R178" s="277"/>
      <c r="S178" s="277"/>
      <c r="T178" s="277"/>
      <c r="U178" s="277"/>
      <c r="V178" s="277"/>
      <c r="W178" s="277"/>
    </row>
    <row r="179" spans="1:23" s="278" customFormat="1" ht="22.5" customHeight="1" x14ac:dyDescent="0.2">
      <c r="A179" s="294"/>
      <c r="B179" s="308"/>
      <c r="C179" s="308"/>
      <c r="D179" s="302"/>
      <c r="E179" s="180"/>
      <c r="F179" s="202"/>
      <c r="G179" s="203"/>
      <c r="H179" s="302"/>
      <c r="I179" s="308"/>
      <c r="J179" s="308"/>
      <c r="K179" s="302"/>
      <c r="L179" s="308"/>
      <c r="M179" s="308"/>
      <c r="N179" s="308"/>
      <c r="O179" s="308"/>
      <c r="P179" s="277"/>
      <c r="Q179" s="277"/>
      <c r="R179" s="277"/>
      <c r="S179" s="277"/>
      <c r="T179" s="277"/>
      <c r="U179" s="277"/>
      <c r="V179" s="277"/>
      <c r="W179" s="277"/>
    </row>
    <row r="180" spans="1:23" s="278" customFormat="1" ht="22.5" customHeight="1" x14ac:dyDescent="0.2">
      <c r="A180" s="294"/>
      <c r="B180" s="308"/>
      <c r="C180" s="308"/>
      <c r="D180" s="302"/>
      <c r="E180" s="179"/>
      <c r="F180" s="204"/>
      <c r="G180" s="205"/>
      <c r="H180" s="302"/>
      <c r="I180" s="308"/>
      <c r="J180" s="308"/>
      <c r="K180" s="302"/>
      <c r="L180" s="308"/>
      <c r="M180" s="308"/>
      <c r="N180" s="308"/>
      <c r="O180" s="308"/>
      <c r="P180" s="277"/>
      <c r="Q180" s="277"/>
      <c r="R180" s="277"/>
      <c r="S180" s="277"/>
      <c r="T180" s="277"/>
      <c r="U180" s="277"/>
      <c r="V180" s="277"/>
      <c r="W180" s="277"/>
    </row>
    <row r="181" spans="1:23" s="278" customFormat="1" ht="22.5" customHeight="1" x14ac:dyDescent="0.2">
      <c r="A181" s="294"/>
      <c r="B181" s="308"/>
      <c r="C181" s="308"/>
      <c r="D181" s="302"/>
      <c r="E181" s="180"/>
      <c r="F181" s="202"/>
      <c r="G181" s="203"/>
      <c r="H181" s="302"/>
      <c r="I181" s="308"/>
      <c r="J181" s="308"/>
      <c r="K181" s="302"/>
      <c r="L181" s="308"/>
      <c r="M181" s="308"/>
      <c r="N181" s="308"/>
      <c r="O181" s="308"/>
      <c r="P181" s="277"/>
      <c r="Q181" s="277"/>
      <c r="R181" s="277"/>
      <c r="S181" s="277"/>
      <c r="T181" s="277"/>
      <c r="U181" s="277"/>
      <c r="V181" s="277"/>
      <c r="W181" s="277"/>
    </row>
    <row r="182" spans="1:23" s="278" customFormat="1" ht="22.5" customHeight="1" x14ac:dyDescent="0.2">
      <c r="A182" s="294"/>
      <c r="B182" s="308"/>
      <c r="C182" s="308"/>
      <c r="D182" s="302"/>
      <c r="E182" s="179"/>
      <c r="F182" s="204"/>
      <c r="G182" s="205"/>
      <c r="H182" s="302"/>
      <c r="I182" s="308"/>
      <c r="J182" s="308"/>
      <c r="K182" s="302"/>
      <c r="L182" s="308"/>
      <c r="M182" s="308"/>
      <c r="N182" s="308"/>
      <c r="O182" s="308"/>
      <c r="P182" s="277"/>
      <c r="Q182" s="277"/>
      <c r="R182" s="277"/>
      <c r="S182" s="277"/>
      <c r="T182" s="277"/>
      <c r="U182" s="277"/>
      <c r="V182" s="277"/>
      <c r="W182" s="277"/>
    </row>
    <row r="183" spans="1:23" s="278" customFormat="1" ht="22.5" customHeight="1" x14ac:dyDescent="0.2">
      <c r="A183" s="294"/>
      <c r="B183" s="308"/>
      <c r="C183" s="308"/>
      <c r="D183" s="302"/>
      <c r="E183" s="180"/>
      <c r="F183" s="202"/>
      <c r="G183" s="203"/>
      <c r="H183" s="302"/>
      <c r="I183" s="308"/>
      <c r="J183" s="308"/>
      <c r="K183" s="302"/>
      <c r="L183" s="308"/>
      <c r="M183" s="308"/>
      <c r="N183" s="308"/>
      <c r="O183" s="308"/>
      <c r="P183" s="277"/>
      <c r="Q183" s="277"/>
      <c r="R183" s="277"/>
      <c r="S183" s="277"/>
      <c r="T183" s="277"/>
      <c r="U183" s="277"/>
      <c r="V183" s="277"/>
      <c r="W183" s="277"/>
    </row>
    <row r="184" spans="1:23" s="278" customFormat="1" ht="22.5" customHeight="1" x14ac:dyDescent="0.2">
      <c r="A184" s="294"/>
      <c r="B184" s="308"/>
      <c r="C184" s="308"/>
      <c r="D184" s="302"/>
      <c r="E184" s="179"/>
      <c r="F184" s="204"/>
      <c r="G184" s="205"/>
      <c r="H184" s="302"/>
      <c r="I184" s="308"/>
      <c r="J184" s="308"/>
      <c r="K184" s="302"/>
      <c r="L184" s="308"/>
      <c r="M184" s="308"/>
      <c r="N184" s="308"/>
      <c r="O184" s="308"/>
      <c r="P184" s="277"/>
      <c r="Q184" s="277"/>
      <c r="R184" s="277"/>
      <c r="S184" s="277"/>
      <c r="T184" s="277"/>
      <c r="U184" s="277"/>
      <c r="V184" s="277"/>
      <c r="W184" s="277"/>
    </row>
    <row r="185" spans="1:23" s="278" customFormat="1" ht="22.5" customHeight="1" x14ac:dyDescent="0.2">
      <c r="A185" s="294"/>
      <c r="B185" s="308"/>
      <c r="C185" s="308"/>
      <c r="D185" s="302"/>
      <c r="E185" s="180"/>
      <c r="F185" s="202"/>
      <c r="G185" s="203"/>
      <c r="H185" s="302"/>
      <c r="I185" s="308"/>
      <c r="J185" s="308"/>
      <c r="K185" s="302"/>
      <c r="L185" s="308"/>
      <c r="M185" s="308"/>
      <c r="N185" s="308"/>
      <c r="O185" s="308"/>
      <c r="P185" s="277"/>
      <c r="Q185" s="277"/>
      <c r="R185" s="277"/>
      <c r="S185" s="277"/>
      <c r="T185" s="277"/>
      <c r="U185" s="277"/>
      <c r="V185" s="277"/>
      <c r="W185" s="277"/>
    </row>
    <row r="186" spans="1:23" s="278" customFormat="1" ht="22.5" customHeight="1" x14ac:dyDescent="0.2">
      <c r="A186" s="294"/>
      <c r="B186" s="308"/>
      <c r="C186" s="308"/>
      <c r="D186" s="302"/>
      <c r="E186" s="179"/>
      <c r="F186" s="204"/>
      <c r="G186" s="205"/>
      <c r="H186" s="302"/>
      <c r="I186" s="308"/>
      <c r="J186" s="308"/>
      <c r="K186" s="302"/>
      <c r="L186" s="308"/>
      <c r="M186" s="308"/>
      <c r="N186" s="308"/>
      <c r="O186" s="308"/>
      <c r="P186" s="277"/>
      <c r="Q186" s="277"/>
      <c r="R186" s="277"/>
      <c r="S186" s="277"/>
      <c r="T186" s="277"/>
      <c r="U186" s="277"/>
      <c r="V186" s="277"/>
      <c r="W186" s="277"/>
    </row>
    <row r="187" spans="1:23" s="278" customFormat="1" ht="22.5" customHeight="1" x14ac:dyDescent="0.2">
      <c r="A187" s="294"/>
      <c r="B187" s="308"/>
      <c r="C187" s="308"/>
      <c r="D187" s="302"/>
      <c r="E187" s="180"/>
      <c r="F187" s="202"/>
      <c r="G187" s="203"/>
      <c r="H187" s="302"/>
      <c r="I187" s="308"/>
      <c r="J187" s="308"/>
      <c r="K187" s="302"/>
      <c r="L187" s="308"/>
      <c r="M187" s="308"/>
      <c r="N187" s="308"/>
      <c r="O187" s="308"/>
      <c r="P187" s="277"/>
      <c r="Q187" s="277"/>
      <c r="R187" s="277"/>
      <c r="S187" s="277"/>
      <c r="T187" s="277"/>
      <c r="U187" s="277"/>
      <c r="V187" s="277"/>
      <c r="W187" s="277"/>
    </row>
    <row r="188" spans="1:23" s="278" customFormat="1" ht="22.5" customHeight="1" x14ac:dyDescent="0.2">
      <c r="A188" s="294"/>
      <c r="B188" s="308"/>
      <c r="C188" s="308"/>
      <c r="D188" s="302"/>
      <c r="E188" s="179"/>
      <c r="F188" s="204"/>
      <c r="G188" s="205"/>
      <c r="H188" s="302"/>
      <c r="I188" s="308"/>
      <c r="J188" s="308"/>
      <c r="K188" s="302"/>
      <c r="L188" s="308"/>
      <c r="M188" s="308"/>
      <c r="N188" s="308"/>
      <c r="O188" s="308"/>
      <c r="P188" s="277"/>
      <c r="Q188" s="277"/>
      <c r="R188" s="277"/>
      <c r="S188" s="277"/>
      <c r="T188" s="277"/>
      <c r="U188" s="277"/>
      <c r="V188" s="277"/>
      <c r="W188" s="277"/>
    </row>
    <row r="189" spans="1:23" s="278" customFormat="1" ht="22.5" customHeight="1" x14ac:dyDescent="0.2">
      <c r="A189" s="294"/>
      <c r="B189" s="308"/>
      <c r="C189" s="308"/>
      <c r="D189" s="302"/>
      <c r="E189" s="180"/>
      <c r="F189" s="202"/>
      <c r="G189" s="203"/>
      <c r="H189" s="302"/>
      <c r="I189" s="308"/>
      <c r="J189" s="308"/>
      <c r="K189" s="302"/>
      <c r="L189" s="308"/>
      <c r="M189" s="308"/>
      <c r="N189" s="308"/>
      <c r="O189" s="308"/>
      <c r="P189" s="277"/>
      <c r="Q189" s="277"/>
      <c r="R189" s="277"/>
      <c r="S189" s="277"/>
      <c r="T189" s="277"/>
      <c r="U189" s="277"/>
      <c r="V189" s="277"/>
      <c r="W189" s="277"/>
    </row>
    <row r="190" spans="1:23" s="278" customFormat="1" ht="22.5" customHeight="1" x14ac:dyDescent="0.2">
      <c r="A190" s="294"/>
      <c r="B190" s="308"/>
      <c r="C190" s="308"/>
      <c r="D190" s="302"/>
      <c r="E190" s="179"/>
      <c r="F190" s="204"/>
      <c r="G190" s="205"/>
      <c r="H190" s="302"/>
      <c r="I190" s="308"/>
      <c r="J190" s="308"/>
      <c r="K190" s="302"/>
      <c r="L190" s="308"/>
      <c r="M190" s="308"/>
      <c r="N190" s="308"/>
      <c r="O190" s="308"/>
      <c r="P190" s="277"/>
      <c r="Q190" s="277"/>
      <c r="R190" s="277"/>
      <c r="S190" s="277"/>
      <c r="T190" s="277"/>
      <c r="U190" s="277"/>
      <c r="V190" s="277"/>
      <c r="W190" s="277"/>
    </row>
    <row r="191" spans="1:23" s="278" customFormat="1" ht="22.5" customHeight="1" x14ac:dyDescent="0.2">
      <c r="A191" s="294"/>
      <c r="B191" s="308"/>
      <c r="C191" s="308"/>
      <c r="D191" s="302"/>
      <c r="E191" s="180"/>
      <c r="F191" s="202"/>
      <c r="G191" s="203"/>
      <c r="H191" s="302"/>
      <c r="I191" s="308"/>
      <c r="J191" s="308"/>
      <c r="K191" s="302"/>
      <c r="L191" s="308"/>
      <c r="M191" s="308"/>
      <c r="N191" s="308"/>
      <c r="O191" s="308"/>
      <c r="P191" s="277"/>
      <c r="Q191" s="277"/>
      <c r="R191" s="277"/>
      <c r="S191" s="277"/>
      <c r="T191" s="277"/>
      <c r="U191" s="277"/>
      <c r="V191" s="277"/>
      <c r="W191" s="277"/>
    </row>
    <row r="192" spans="1:23" s="278" customFormat="1" ht="22.5" customHeight="1" x14ac:dyDescent="0.2">
      <c r="A192" s="294"/>
      <c r="B192" s="308"/>
      <c r="C192" s="308"/>
      <c r="D192" s="302"/>
      <c r="E192" s="179"/>
      <c r="F192" s="204"/>
      <c r="G192" s="205"/>
      <c r="H192" s="302"/>
      <c r="I192" s="308"/>
      <c r="J192" s="308"/>
      <c r="K192" s="302"/>
      <c r="L192" s="308"/>
      <c r="M192" s="308"/>
      <c r="N192" s="308"/>
      <c r="O192" s="308"/>
      <c r="P192" s="277"/>
      <c r="Q192" s="277"/>
      <c r="R192" s="277"/>
      <c r="S192" s="277"/>
      <c r="T192" s="277"/>
      <c r="U192" s="277"/>
      <c r="V192" s="277"/>
      <c r="W192" s="277"/>
    </row>
    <row r="193" spans="1:23" s="278" customFormat="1" ht="22.5" customHeight="1" x14ac:dyDescent="0.2">
      <c r="A193" s="294"/>
      <c r="B193" s="308"/>
      <c r="C193" s="308"/>
      <c r="D193" s="302"/>
      <c r="E193" s="180"/>
      <c r="F193" s="202"/>
      <c r="G193" s="203"/>
      <c r="H193" s="302"/>
      <c r="I193" s="308"/>
      <c r="J193" s="308"/>
      <c r="K193" s="302"/>
      <c r="L193" s="308"/>
      <c r="M193" s="308"/>
      <c r="N193" s="308"/>
      <c r="O193" s="308"/>
      <c r="P193" s="277"/>
      <c r="Q193" s="277"/>
      <c r="R193" s="277"/>
      <c r="S193" s="277"/>
      <c r="T193" s="277"/>
      <c r="U193" s="277"/>
      <c r="V193" s="277"/>
      <c r="W193" s="277"/>
    </row>
    <row r="194" spans="1:23" s="278" customFormat="1" ht="22.5" customHeight="1" x14ac:dyDescent="0.2">
      <c r="A194" s="294"/>
      <c r="B194" s="308"/>
      <c r="C194" s="308"/>
      <c r="D194" s="302"/>
      <c r="E194" s="179"/>
      <c r="F194" s="204"/>
      <c r="G194" s="205"/>
      <c r="H194" s="302"/>
      <c r="I194" s="308"/>
      <c r="J194" s="308"/>
      <c r="K194" s="302"/>
      <c r="L194" s="308"/>
      <c r="M194" s="308"/>
      <c r="N194" s="308"/>
      <c r="O194" s="308"/>
      <c r="P194" s="277"/>
      <c r="Q194" s="277"/>
      <c r="R194" s="277"/>
      <c r="S194" s="277"/>
      <c r="T194" s="277"/>
      <c r="U194" s="277"/>
      <c r="V194" s="277"/>
      <c r="W194" s="277"/>
    </row>
    <row r="195" spans="1:23" s="278" customFormat="1" ht="22.5" customHeight="1" x14ac:dyDescent="0.2">
      <c r="A195" s="294"/>
      <c r="B195" s="308"/>
      <c r="C195" s="308"/>
      <c r="D195" s="302"/>
      <c r="E195" s="180"/>
      <c r="F195" s="202"/>
      <c r="G195" s="203"/>
      <c r="H195" s="302"/>
      <c r="I195" s="308"/>
      <c r="J195" s="308"/>
      <c r="K195" s="302"/>
      <c r="L195" s="308"/>
      <c r="M195" s="308"/>
      <c r="N195" s="308"/>
      <c r="O195" s="308"/>
      <c r="P195" s="277"/>
      <c r="Q195" s="277"/>
      <c r="R195" s="277"/>
      <c r="S195" s="277"/>
      <c r="T195" s="277"/>
      <c r="U195" s="277"/>
      <c r="V195" s="277"/>
      <c r="W195" s="277"/>
    </row>
    <row r="196" spans="1:23" s="278" customFormat="1" ht="22.5" customHeight="1" x14ac:dyDescent="0.2">
      <c r="A196" s="294"/>
      <c r="B196" s="308"/>
      <c r="C196" s="308"/>
      <c r="D196" s="302"/>
      <c r="E196" s="179"/>
      <c r="F196" s="204"/>
      <c r="G196" s="205"/>
      <c r="H196" s="302"/>
      <c r="I196" s="308"/>
      <c r="J196" s="308"/>
      <c r="K196" s="302"/>
      <c r="L196" s="308"/>
      <c r="M196" s="308"/>
      <c r="N196" s="308"/>
      <c r="O196" s="308"/>
      <c r="P196" s="277"/>
      <c r="Q196" s="277"/>
      <c r="R196" s="277"/>
      <c r="S196" s="277"/>
      <c r="T196" s="277"/>
      <c r="U196" s="277"/>
      <c r="V196" s="277"/>
      <c r="W196" s="277"/>
    </row>
    <row r="197" spans="1:23" s="278" customFormat="1" ht="22.5" customHeight="1" x14ac:dyDescent="0.2">
      <c r="A197" s="294"/>
      <c r="B197" s="308"/>
      <c r="C197" s="308"/>
      <c r="D197" s="302"/>
      <c r="E197" s="180"/>
      <c r="F197" s="202"/>
      <c r="G197" s="203"/>
      <c r="H197" s="302"/>
      <c r="I197" s="308"/>
      <c r="J197" s="308"/>
      <c r="K197" s="302"/>
      <c r="L197" s="308"/>
      <c r="M197" s="308"/>
      <c r="N197" s="308"/>
      <c r="O197" s="308"/>
      <c r="P197" s="277"/>
      <c r="Q197" s="277"/>
      <c r="R197" s="277"/>
      <c r="S197" s="277"/>
      <c r="T197" s="277"/>
      <c r="U197" s="277"/>
      <c r="V197" s="277"/>
      <c r="W197" s="277"/>
    </row>
    <row r="198" spans="1:23" s="278" customFormat="1" ht="22.5" customHeight="1" x14ac:dyDescent="0.2">
      <c r="A198" s="294"/>
      <c r="B198" s="308"/>
      <c r="C198" s="308"/>
      <c r="D198" s="302"/>
      <c r="E198" s="179"/>
      <c r="F198" s="204"/>
      <c r="G198" s="205"/>
      <c r="H198" s="302"/>
      <c r="I198" s="308"/>
      <c r="J198" s="308"/>
      <c r="K198" s="302"/>
      <c r="L198" s="308"/>
      <c r="M198" s="308"/>
      <c r="N198" s="308"/>
      <c r="O198" s="308"/>
      <c r="P198" s="277"/>
      <c r="Q198" s="277"/>
      <c r="R198" s="277"/>
      <c r="S198" s="277"/>
      <c r="T198" s="277"/>
      <c r="U198" s="277"/>
      <c r="V198" s="277"/>
      <c r="W198" s="277"/>
    </row>
    <row r="199" spans="1:23" s="278" customFormat="1" ht="22.5" customHeight="1" x14ac:dyDescent="0.2">
      <c r="A199" s="294"/>
      <c r="B199" s="308"/>
      <c r="C199" s="308"/>
      <c r="D199" s="302"/>
      <c r="E199" s="180"/>
      <c r="F199" s="202"/>
      <c r="G199" s="203"/>
      <c r="H199" s="302"/>
      <c r="I199" s="308"/>
      <c r="J199" s="308"/>
      <c r="K199" s="302"/>
      <c r="L199" s="308"/>
      <c r="M199" s="308"/>
      <c r="N199" s="308"/>
      <c r="O199" s="308"/>
      <c r="P199" s="277"/>
      <c r="Q199" s="277"/>
      <c r="R199" s="277"/>
      <c r="S199" s="277"/>
      <c r="T199" s="277"/>
      <c r="U199" s="277"/>
      <c r="V199" s="277"/>
      <c r="W199" s="277"/>
    </row>
    <row r="200" spans="1:23" s="278" customFormat="1" ht="22.5" customHeight="1" x14ac:dyDescent="0.2">
      <c r="A200" s="294"/>
      <c r="B200" s="308"/>
      <c r="C200" s="308"/>
      <c r="D200" s="302"/>
      <c r="E200" s="179"/>
      <c r="F200" s="204"/>
      <c r="G200" s="205"/>
      <c r="H200" s="302"/>
      <c r="I200" s="308"/>
      <c r="J200" s="308"/>
      <c r="K200" s="302"/>
      <c r="L200" s="308"/>
      <c r="M200" s="308"/>
      <c r="N200" s="308"/>
      <c r="O200" s="308"/>
      <c r="P200" s="277"/>
      <c r="Q200" s="277"/>
      <c r="R200" s="277"/>
      <c r="S200" s="277"/>
      <c r="T200" s="277"/>
      <c r="U200" s="277"/>
      <c r="V200" s="277"/>
      <c r="W200" s="277"/>
    </row>
    <row r="201" spans="1:23" s="278" customFormat="1" ht="22.5" customHeight="1" x14ac:dyDescent="0.2">
      <c r="A201" s="294"/>
      <c r="B201" s="308"/>
      <c r="C201" s="308"/>
      <c r="D201" s="302"/>
      <c r="E201" s="180"/>
      <c r="F201" s="202"/>
      <c r="G201" s="203"/>
      <c r="H201" s="302"/>
      <c r="I201" s="308"/>
      <c r="J201" s="308"/>
      <c r="K201" s="302"/>
      <c r="L201" s="308"/>
      <c r="M201" s="308"/>
      <c r="N201" s="308"/>
      <c r="O201" s="308"/>
      <c r="P201" s="277"/>
      <c r="Q201" s="277"/>
      <c r="R201" s="277"/>
      <c r="S201" s="277"/>
      <c r="T201" s="277"/>
      <c r="U201" s="277"/>
      <c r="V201" s="277"/>
      <c r="W201" s="277"/>
    </row>
    <row r="202" spans="1:23" s="278" customFormat="1" ht="22.5" customHeight="1" x14ac:dyDescent="0.2">
      <c r="A202" s="294"/>
      <c r="B202" s="308"/>
      <c r="C202" s="308"/>
      <c r="D202" s="302"/>
      <c r="E202" s="179"/>
      <c r="F202" s="204"/>
      <c r="G202" s="205"/>
      <c r="H202" s="302"/>
      <c r="I202" s="308"/>
      <c r="J202" s="308"/>
      <c r="K202" s="302"/>
      <c r="L202" s="308"/>
      <c r="M202" s="308"/>
      <c r="N202" s="308"/>
      <c r="O202" s="308"/>
      <c r="P202" s="277"/>
      <c r="Q202" s="277"/>
      <c r="R202" s="277"/>
      <c r="S202" s="277"/>
      <c r="T202" s="277"/>
      <c r="U202" s="277"/>
      <c r="V202" s="277"/>
      <c r="W202" s="277"/>
    </row>
    <row r="203" spans="1:23" s="278" customFormat="1" ht="22.5" customHeight="1" x14ac:dyDescent="0.2">
      <c r="A203" s="294"/>
      <c r="B203" s="308"/>
      <c r="C203" s="308"/>
      <c r="D203" s="302"/>
      <c r="E203" s="180"/>
      <c r="F203" s="202"/>
      <c r="G203" s="203"/>
      <c r="H203" s="302"/>
      <c r="I203" s="308"/>
      <c r="J203" s="308"/>
      <c r="K203" s="302"/>
      <c r="L203" s="308"/>
      <c r="M203" s="308"/>
      <c r="N203" s="308"/>
      <c r="O203" s="308"/>
      <c r="P203" s="277"/>
      <c r="Q203" s="277"/>
      <c r="R203" s="277"/>
      <c r="S203" s="277"/>
      <c r="T203" s="277"/>
      <c r="U203" s="277"/>
      <c r="V203" s="277"/>
      <c r="W203" s="277"/>
    </row>
    <row r="204" spans="1:23" s="278" customFormat="1" ht="22.5" customHeight="1" x14ac:dyDescent="0.2">
      <c r="A204" s="294"/>
      <c r="B204" s="308"/>
      <c r="C204" s="308"/>
      <c r="D204" s="302"/>
      <c r="E204" s="179"/>
      <c r="F204" s="204"/>
      <c r="G204" s="205"/>
      <c r="H204" s="302"/>
      <c r="I204" s="308"/>
      <c r="J204" s="308"/>
      <c r="K204" s="302"/>
      <c r="L204" s="308"/>
      <c r="M204" s="308"/>
      <c r="N204" s="308"/>
      <c r="O204" s="308"/>
      <c r="P204" s="277"/>
      <c r="Q204" s="277"/>
      <c r="R204" s="277"/>
      <c r="S204" s="277"/>
      <c r="T204" s="277"/>
      <c r="U204" s="277"/>
      <c r="V204" s="277"/>
      <c r="W204" s="277"/>
    </row>
    <row r="205" spans="1:23" s="278" customFormat="1" ht="22.5" customHeight="1" x14ac:dyDescent="0.2">
      <c r="A205" s="294"/>
      <c r="B205" s="308"/>
      <c r="C205" s="308"/>
      <c r="D205" s="302"/>
      <c r="E205" s="180"/>
      <c r="F205" s="202"/>
      <c r="G205" s="203"/>
      <c r="H205" s="302"/>
      <c r="I205" s="308"/>
      <c r="J205" s="308"/>
      <c r="K205" s="302"/>
      <c r="L205" s="308"/>
      <c r="M205" s="308"/>
      <c r="N205" s="308"/>
      <c r="O205" s="308"/>
      <c r="P205" s="277"/>
      <c r="Q205" s="277"/>
      <c r="R205" s="277"/>
      <c r="S205" s="277"/>
      <c r="T205" s="277"/>
      <c r="U205" s="277"/>
      <c r="V205" s="277"/>
      <c r="W205" s="277"/>
    </row>
    <row r="206" spans="1:23" s="278" customFormat="1" ht="22.5" customHeight="1" x14ac:dyDescent="0.2">
      <c r="A206" s="294"/>
      <c r="B206" s="308"/>
      <c r="C206" s="308"/>
      <c r="D206" s="302"/>
      <c r="E206" s="179"/>
      <c r="F206" s="204"/>
      <c r="G206" s="205"/>
      <c r="H206" s="302"/>
      <c r="I206" s="308"/>
      <c r="J206" s="308"/>
      <c r="K206" s="302"/>
      <c r="L206" s="308"/>
      <c r="M206" s="308"/>
      <c r="N206" s="308"/>
      <c r="O206" s="308"/>
      <c r="P206" s="277"/>
      <c r="Q206" s="277"/>
      <c r="R206" s="277"/>
      <c r="S206" s="277"/>
      <c r="T206" s="277"/>
      <c r="U206" s="277"/>
      <c r="V206" s="277"/>
      <c r="W206" s="277"/>
    </row>
    <row r="207" spans="1:23" s="278" customFormat="1" ht="22.5" customHeight="1" x14ac:dyDescent="0.2">
      <c r="A207" s="294"/>
      <c r="B207" s="308"/>
      <c r="C207" s="308"/>
      <c r="D207" s="302"/>
      <c r="E207" s="180"/>
      <c r="F207" s="202"/>
      <c r="G207" s="203"/>
      <c r="H207" s="302"/>
      <c r="I207" s="308"/>
      <c r="J207" s="308"/>
      <c r="K207" s="302"/>
      <c r="L207" s="308"/>
      <c r="M207" s="308"/>
      <c r="N207" s="308"/>
      <c r="O207" s="308"/>
      <c r="P207" s="277"/>
      <c r="Q207" s="277"/>
      <c r="R207" s="277"/>
      <c r="S207" s="277"/>
      <c r="T207" s="277"/>
      <c r="U207" s="277"/>
      <c r="V207" s="277"/>
      <c r="W207" s="277"/>
    </row>
    <row r="208" spans="1:23" s="278" customFormat="1" ht="22.5" customHeight="1" x14ac:dyDescent="0.2">
      <c r="A208" s="294"/>
      <c r="B208" s="308"/>
      <c r="C208" s="308"/>
      <c r="D208" s="302"/>
      <c r="E208" s="179"/>
      <c r="F208" s="204"/>
      <c r="G208" s="205"/>
      <c r="H208" s="302"/>
      <c r="I208" s="308"/>
      <c r="J208" s="308"/>
      <c r="K208" s="302"/>
      <c r="L208" s="308"/>
      <c r="M208" s="308"/>
      <c r="N208" s="308"/>
      <c r="O208" s="308"/>
      <c r="P208" s="277"/>
      <c r="Q208" s="277"/>
      <c r="R208" s="277"/>
      <c r="S208" s="277"/>
      <c r="T208" s="277"/>
      <c r="U208" s="277"/>
      <c r="V208" s="277"/>
      <c r="W208" s="277"/>
    </row>
    <row r="209" spans="1:23" s="278" customFormat="1" ht="22.5" customHeight="1" x14ac:dyDescent="0.2">
      <c r="A209" s="294"/>
      <c r="B209" s="308"/>
      <c r="C209" s="308"/>
      <c r="D209" s="302"/>
      <c r="E209" s="180"/>
      <c r="F209" s="202"/>
      <c r="G209" s="203"/>
      <c r="H209" s="302"/>
      <c r="I209" s="308"/>
      <c r="J209" s="308"/>
      <c r="K209" s="302"/>
      <c r="L209" s="308"/>
      <c r="M209" s="308"/>
      <c r="N209" s="308"/>
      <c r="O209" s="308"/>
      <c r="P209" s="277"/>
      <c r="Q209" s="277"/>
      <c r="R209" s="277"/>
      <c r="S209" s="277"/>
      <c r="T209" s="277"/>
      <c r="U209" s="277"/>
      <c r="V209" s="277"/>
      <c r="W209" s="277"/>
    </row>
    <row r="210" spans="1:23" s="278" customFormat="1" ht="22.5" customHeight="1" x14ac:dyDescent="0.2">
      <c r="A210" s="294"/>
      <c r="B210" s="308"/>
      <c r="C210" s="308"/>
      <c r="D210" s="302"/>
      <c r="E210" s="179"/>
      <c r="F210" s="204"/>
      <c r="G210" s="205"/>
      <c r="H210" s="302"/>
      <c r="I210" s="308"/>
      <c r="J210" s="308"/>
      <c r="K210" s="302"/>
      <c r="L210" s="308"/>
      <c r="M210" s="308"/>
      <c r="N210" s="308"/>
      <c r="O210" s="308"/>
      <c r="P210" s="277"/>
      <c r="Q210" s="277"/>
      <c r="R210" s="277"/>
      <c r="S210" s="277"/>
      <c r="T210" s="277"/>
      <c r="U210" s="277"/>
      <c r="V210" s="277"/>
      <c r="W210" s="277"/>
    </row>
    <row r="211" spans="1:23" s="278" customFormat="1" ht="22.5" customHeight="1" x14ac:dyDescent="0.2">
      <c r="A211" s="294"/>
      <c r="B211" s="308"/>
      <c r="C211" s="308"/>
      <c r="D211" s="302"/>
      <c r="E211" s="180"/>
      <c r="F211" s="202"/>
      <c r="G211" s="203"/>
      <c r="H211" s="302"/>
      <c r="I211" s="308"/>
      <c r="J211" s="308"/>
      <c r="K211" s="302"/>
      <c r="L211" s="308"/>
      <c r="M211" s="308"/>
      <c r="N211" s="308"/>
      <c r="O211" s="308"/>
      <c r="P211" s="277"/>
      <c r="Q211" s="277"/>
      <c r="R211" s="277"/>
      <c r="S211" s="277"/>
      <c r="T211" s="277"/>
      <c r="U211" s="277"/>
      <c r="V211" s="277"/>
      <c r="W211" s="277"/>
    </row>
    <row r="212" spans="1:23" s="278" customFormat="1" ht="22.5" customHeight="1" x14ac:dyDescent="0.2">
      <c r="A212" s="294"/>
      <c r="B212" s="308"/>
      <c r="C212" s="308"/>
      <c r="D212" s="302"/>
      <c r="E212" s="179"/>
      <c r="F212" s="204"/>
      <c r="G212" s="205"/>
      <c r="H212" s="302"/>
      <c r="I212" s="308"/>
      <c r="J212" s="308"/>
      <c r="K212" s="302"/>
      <c r="L212" s="308"/>
      <c r="M212" s="308"/>
      <c r="N212" s="308"/>
      <c r="O212" s="308"/>
      <c r="P212" s="277"/>
      <c r="Q212" s="277"/>
      <c r="R212" s="277"/>
      <c r="S212" s="277"/>
      <c r="T212" s="277"/>
      <c r="U212" s="277"/>
      <c r="V212" s="277"/>
      <c r="W212" s="277"/>
    </row>
    <row r="213" spans="1:23" s="278" customFormat="1" ht="22.5" customHeight="1" x14ac:dyDescent="0.2">
      <c r="A213" s="294"/>
      <c r="B213" s="308"/>
      <c r="C213" s="308"/>
      <c r="D213" s="302"/>
      <c r="E213" s="180"/>
      <c r="F213" s="202"/>
      <c r="G213" s="203"/>
      <c r="H213" s="302"/>
      <c r="I213" s="308"/>
      <c r="J213" s="308"/>
      <c r="K213" s="302"/>
      <c r="L213" s="308"/>
      <c r="M213" s="308"/>
      <c r="N213" s="308"/>
      <c r="O213" s="308"/>
      <c r="P213" s="277"/>
      <c r="Q213" s="277"/>
      <c r="R213" s="277"/>
      <c r="S213" s="277"/>
      <c r="T213" s="277"/>
      <c r="U213" s="277"/>
      <c r="V213" s="277"/>
      <c r="W213" s="277"/>
    </row>
    <row r="214" spans="1:23" s="278" customFormat="1" ht="22.5" customHeight="1" x14ac:dyDescent="0.2">
      <c r="A214" s="294"/>
      <c r="B214" s="308"/>
      <c r="C214" s="308"/>
      <c r="D214" s="302"/>
      <c r="E214" s="179"/>
      <c r="F214" s="204"/>
      <c r="G214" s="205"/>
      <c r="H214" s="302"/>
      <c r="I214" s="308"/>
      <c r="J214" s="308"/>
      <c r="K214" s="302"/>
      <c r="L214" s="308"/>
      <c r="M214" s="308"/>
      <c r="N214" s="308"/>
      <c r="O214" s="308"/>
      <c r="P214" s="277"/>
      <c r="Q214" s="277"/>
      <c r="R214" s="277"/>
      <c r="S214" s="277"/>
      <c r="T214" s="277"/>
      <c r="U214" s="277"/>
      <c r="V214" s="277"/>
      <c r="W214" s="277"/>
    </row>
    <row r="215" spans="1:23" s="278" customFormat="1" ht="22.5" customHeight="1" x14ac:dyDescent="0.2">
      <c r="A215" s="294"/>
      <c r="B215" s="308"/>
      <c r="C215" s="308"/>
      <c r="D215" s="302"/>
      <c r="E215" s="180"/>
      <c r="F215" s="202"/>
      <c r="G215" s="203"/>
      <c r="H215" s="302"/>
      <c r="I215" s="308"/>
      <c r="J215" s="308"/>
      <c r="K215" s="302"/>
      <c r="L215" s="308"/>
      <c r="M215" s="308"/>
      <c r="N215" s="308"/>
      <c r="O215" s="308"/>
      <c r="P215" s="277"/>
      <c r="Q215" s="277"/>
      <c r="R215" s="277"/>
      <c r="S215" s="277"/>
      <c r="T215" s="277"/>
      <c r="U215" s="277"/>
      <c r="V215" s="277"/>
      <c r="W215" s="277"/>
    </row>
    <row r="216" spans="1:23" s="278" customFormat="1" ht="22.5" customHeight="1" x14ac:dyDescent="0.2">
      <c r="A216" s="294"/>
      <c r="B216" s="308"/>
      <c r="C216" s="308"/>
      <c r="D216" s="302"/>
      <c r="E216" s="179"/>
      <c r="F216" s="204"/>
      <c r="G216" s="205"/>
      <c r="H216" s="302"/>
      <c r="I216" s="308"/>
      <c r="J216" s="308"/>
      <c r="K216" s="302"/>
      <c r="L216" s="308"/>
      <c r="M216" s="308"/>
      <c r="N216" s="308"/>
      <c r="O216" s="308"/>
      <c r="P216" s="277"/>
      <c r="Q216" s="277"/>
      <c r="R216" s="277"/>
      <c r="S216" s="277"/>
      <c r="T216" s="277"/>
      <c r="U216" s="277"/>
      <c r="V216" s="277"/>
      <c r="W216" s="277"/>
    </row>
    <row r="217" spans="1:23" s="278" customFormat="1" ht="22.5" customHeight="1" x14ac:dyDescent="0.2">
      <c r="A217" s="294"/>
      <c r="B217" s="308"/>
      <c r="C217" s="308"/>
      <c r="D217" s="302"/>
      <c r="E217" s="180"/>
      <c r="F217" s="202"/>
      <c r="G217" s="203"/>
      <c r="H217" s="302"/>
      <c r="I217" s="308"/>
      <c r="J217" s="308"/>
      <c r="K217" s="302"/>
      <c r="L217" s="308"/>
      <c r="M217" s="308"/>
      <c r="N217" s="308"/>
      <c r="O217" s="308"/>
      <c r="P217" s="277"/>
      <c r="Q217" s="277"/>
      <c r="R217" s="277"/>
      <c r="S217" s="277"/>
      <c r="T217" s="277"/>
      <c r="U217" s="277"/>
      <c r="V217" s="277"/>
      <c r="W217" s="277"/>
    </row>
    <row r="218" spans="1:23" s="278" customFormat="1" ht="22.5" customHeight="1" x14ac:dyDescent="0.2">
      <c r="A218" s="294"/>
      <c r="B218" s="308"/>
      <c r="C218" s="308"/>
      <c r="D218" s="302"/>
      <c r="E218" s="179"/>
      <c r="F218" s="204"/>
      <c r="G218" s="205"/>
      <c r="H218" s="302"/>
      <c r="I218" s="308"/>
      <c r="J218" s="308"/>
      <c r="K218" s="302"/>
      <c r="L218" s="308"/>
      <c r="M218" s="308"/>
      <c r="N218" s="308"/>
      <c r="O218" s="308"/>
      <c r="P218" s="277"/>
      <c r="Q218" s="277"/>
      <c r="R218" s="277"/>
      <c r="S218" s="277"/>
      <c r="T218" s="277"/>
      <c r="U218" s="277"/>
      <c r="V218" s="277"/>
      <c r="W218" s="277"/>
    </row>
    <row r="219" spans="1:23" s="278" customFormat="1" ht="22.5" customHeight="1" x14ac:dyDescent="0.2">
      <c r="A219" s="294"/>
      <c r="B219" s="308"/>
      <c r="C219" s="308"/>
      <c r="D219" s="302"/>
      <c r="E219" s="180"/>
      <c r="F219" s="202"/>
      <c r="G219" s="203"/>
      <c r="H219" s="302"/>
      <c r="I219" s="308"/>
      <c r="J219" s="308"/>
      <c r="K219" s="302"/>
      <c r="L219" s="308"/>
      <c r="M219" s="308"/>
      <c r="N219" s="308"/>
      <c r="O219" s="308"/>
      <c r="P219" s="277"/>
      <c r="Q219" s="277"/>
      <c r="R219" s="277"/>
      <c r="S219" s="277"/>
      <c r="T219" s="277"/>
      <c r="U219" s="277"/>
      <c r="V219" s="277"/>
      <c r="W219" s="277"/>
    </row>
    <row r="220" spans="1:23" s="278" customFormat="1" ht="22.5" customHeight="1" x14ac:dyDescent="0.2">
      <c r="A220" s="294"/>
      <c r="B220" s="308"/>
      <c r="C220" s="308"/>
      <c r="D220" s="302"/>
      <c r="E220" s="179"/>
      <c r="F220" s="204"/>
      <c r="G220" s="205"/>
      <c r="H220" s="302"/>
      <c r="I220" s="308"/>
      <c r="J220" s="308"/>
      <c r="K220" s="302"/>
      <c r="L220" s="308"/>
      <c r="M220" s="308"/>
      <c r="N220" s="308"/>
      <c r="O220" s="308"/>
      <c r="P220" s="277"/>
      <c r="Q220" s="277"/>
      <c r="R220" s="277"/>
      <c r="S220" s="277"/>
      <c r="T220" s="277"/>
      <c r="U220" s="277"/>
      <c r="V220" s="277"/>
      <c r="W220" s="277"/>
    </row>
    <row r="221" spans="1:23" s="278" customFormat="1" ht="22.5" customHeight="1" x14ac:dyDescent="0.2">
      <c r="A221" s="294"/>
      <c r="B221" s="308"/>
      <c r="C221" s="308"/>
      <c r="D221" s="302"/>
      <c r="E221" s="180"/>
      <c r="F221" s="202"/>
      <c r="G221" s="203"/>
      <c r="H221" s="302"/>
      <c r="I221" s="308"/>
      <c r="J221" s="308"/>
      <c r="K221" s="302"/>
      <c r="L221" s="308"/>
      <c r="M221" s="308"/>
      <c r="N221" s="308"/>
      <c r="O221" s="308"/>
      <c r="P221" s="277"/>
      <c r="Q221" s="277"/>
      <c r="R221" s="277"/>
      <c r="S221" s="277"/>
      <c r="T221" s="277"/>
      <c r="U221" s="277"/>
      <c r="V221" s="277"/>
      <c r="W221" s="277"/>
    </row>
    <row r="222" spans="1:23" s="278" customFormat="1" ht="22.5" customHeight="1" x14ac:dyDescent="0.2">
      <c r="A222" s="294"/>
      <c r="B222" s="308"/>
      <c r="C222" s="308"/>
      <c r="D222" s="302"/>
      <c r="E222" s="179"/>
      <c r="F222" s="204"/>
      <c r="G222" s="205"/>
      <c r="H222" s="302"/>
      <c r="I222" s="308"/>
      <c r="J222" s="308"/>
      <c r="K222" s="302"/>
      <c r="L222" s="308"/>
      <c r="M222" s="308"/>
      <c r="N222" s="308"/>
      <c r="O222" s="308"/>
      <c r="P222" s="277"/>
      <c r="Q222" s="277"/>
      <c r="R222" s="277"/>
      <c r="S222" s="277"/>
      <c r="T222" s="277"/>
      <c r="U222" s="277"/>
      <c r="V222" s="277"/>
      <c r="W222" s="277"/>
    </row>
    <row r="223" spans="1:23" s="278" customFormat="1" ht="22.5" customHeight="1" x14ac:dyDescent="0.2">
      <c r="A223" s="294"/>
      <c r="B223" s="308"/>
      <c r="C223" s="308"/>
      <c r="D223" s="244"/>
      <c r="E223" s="48"/>
      <c r="F223" s="47"/>
      <c r="G223" s="49"/>
      <c r="H223" s="244"/>
      <c r="I223" s="308"/>
      <c r="J223" s="308"/>
      <c r="K223" s="244"/>
      <c r="L223" s="308"/>
      <c r="M223" s="308"/>
      <c r="N223" s="308"/>
      <c r="O223" s="308"/>
      <c r="P223" s="277"/>
      <c r="Q223" s="277"/>
      <c r="R223" s="277"/>
      <c r="S223" s="277"/>
      <c r="T223" s="277"/>
      <c r="U223" s="277"/>
      <c r="V223" s="277"/>
      <c r="W223" s="277"/>
    </row>
    <row r="224" spans="1:23" s="278" customFormat="1" ht="22.5" customHeight="1" x14ac:dyDescent="0.2">
      <c r="A224" s="294"/>
      <c r="B224" s="308"/>
      <c r="C224" s="308"/>
      <c r="D224" s="244"/>
      <c r="E224" s="35"/>
      <c r="F224" s="32"/>
      <c r="G224" s="36"/>
      <c r="H224" s="244"/>
      <c r="I224" s="308"/>
      <c r="J224" s="308"/>
      <c r="K224" s="244"/>
      <c r="L224" s="308"/>
      <c r="M224" s="308"/>
      <c r="N224" s="308"/>
      <c r="O224" s="308"/>
      <c r="P224" s="277"/>
      <c r="Q224" s="277"/>
      <c r="R224" s="277"/>
      <c r="S224" s="277"/>
      <c r="T224" s="277"/>
      <c r="U224" s="277"/>
      <c r="V224" s="277"/>
      <c r="W224" s="277"/>
    </row>
    <row r="225" spans="1:23" s="278" customFormat="1" ht="22.5" customHeight="1" x14ac:dyDescent="0.2">
      <c r="A225" s="294"/>
      <c r="B225" s="308"/>
      <c r="C225" s="308"/>
      <c r="D225" s="244"/>
      <c r="E225" s="48"/>
      <c r="F225" s="47"/>
      <c r="G225" s="49"/>
      <c r="H225" s="244"/>
      <c r="I225" s="308"/>
      <c r="J225" s="308"/>
      <c r="K225" s="244"/>
      <c r="L225" s="308"/>
      <c r="M225" s="308"/>
      <c r="N225" s="308"/>
      <c r="O225" s="308"/>
      <c r="P225" s="277"/>
      <c r="Q225" s="277"/>
      <c r="R225" s="277"/>
      <c r="S225" s="277"/>
      <c r="T225" s="277"/>
      <c r="U225" s="277"/>
      <c r="V225" s="277"/>
      <c r="W225" s="277"/>
    </row>
    <row r="226" spans="1:23" s="278" customFormat="1" ht="22.5" customHeight="1" x14ac:dyDescent="0.2">
      <c r="A226" s="294"/>
      <c r="B226" s="308"/>
      <c r="C226" s="308"/>
      <c r="D226" s="244"/>
      <c r="E226" s="35"/>
      <c r="F226" s="32"/>
      <c r="G226" s="36"/>
      <c r="H226" s="244"/>
      <c r="I226" s="308"/>
      <c r="J226" s="308"/>
      <c r="K226" s="244"/>
      <c r="L226" s="308"/>
      <c r="M226" s="308"/>
      <c r="N226" s="308"/>
      <c r="O226" s="308"/>
      <c r="P226" s="277"/>
      <c r="Q226" s="277"/>
      <c r="R226" s="277"/>
      <c r="S226" s="277"/>
      <c r="T226" s="277"/>
      <c r="U226" s="277"/>
      <c r="V226" s="277"/>
      <c r="W226" s="277"/>
    </row>
    <row r="227" spans="1:23" s="278" customFormat="1" ht="22.5" customHeight="1" x14ac:dyDescent="0.2">
      <c r="A227" s="294"/>
      <c r="B227" s="308"/>
      <c r="C227" s="308"/>
      <c r="D227" s="244"/>
      <c r="E227" s="48"/>
      <c r="F227" s="47"/>
      <c r="G227" s="49"/>
      <c r="H227" s="244"/>
      <c r="I227" s="308"/>
      <c r="J227" s="308"/>
      <c r="K227" s="244"/>
      <c r="L227" s="308"/>
      <c r="M227" s="308"/>
      <c r="N227" s="308"/>
      <c r="O227" s="308"/>
      <c r="P227" s="277"/>
      <c r="Q227" s="277"/>
      <c r="R227" s="277"/>
      <c r="S227" s="277"/>
      <c r="T227" s="277"/>
      <c r="U227" s="277"/>
      <c r="V227" s="277"/>
      <c r="W227" s="277"/>
    </row>
    <row r="228" spans="1:23" s="278" customFormat="1" ht="22.5" customHeight="1" x14ac:dyDescent="0.2">
      <c r="A228" s="294"/>
      <c r="B228" s="308"/>
      <c r="C228" s="308"/>
      <c r="D228" s="244"/>
      <c r="E228" s="35"/>
      <c r="F228" s="32"/>
      <c r="G228" s="36"/>
      <c r="H228" s="244"/>
      <c r="I228" s="308"/>
      <c r="J228" s="308"/>
      <c r="K228" s="244"/>
      <c r="L228" s="308"/>
      <c r="M228" s="308"/>
      <c r="N228" s="308"/>
      <c r="O228" s="308"/>
      <c r="P228" s="277"/>
      <c r="Q228" s="277"/>
      <c r="R228" s="277"/>
      <c r="S228" s="277"/>
      <c r="T228" s="277"/>
      <c r="U228" s="277"/>
      <c r="V228" s="277"/>
      <c r="W228" s="277"/>
    </row>
    <row r="229" spans="1:23" s="278" customFormat="1" ht="22.5" customHeight="1" x14ac:dyDescent="0.2">
      <c r="A229" s="294"/>
      <c r="B229" s="308"/>
      <c r="C229" s="308"/>
      <c r="D229" s="244"/>
      <c r="E229" s="48"/>
      <c r="F229" s="47"/>
      <c r="G229" s="49"/>
      <c r="H229" s="244"/>
      <c r="I229" s="308"/>
      <c r="J229" s="308"/>
      <c r="K229" s="244"/>
      <c r="L229" s="308"/>
      <c r="M229" s="308"/>
      <c r="N229" s="308"/>
      <c r="O229" s="308"/>
      <c r="P229" s="277"/>
      <c r="Q229" s="277"/>
      <c r="R229" s="277"/>
      <c r="S229" s="277"/>
      <c r="T229" s="277"/>
      <c r="U229" s="277"/>
      <c r="V229" s="277"/>
      <c r="W229" s="277"/>
    </row>
    <row r="230" spans="1:23" s="278" customFormat="1" ht="22.5" customHeight="1" x14ac:dyDescent="0.2">
      <c r="A230" s="294"/>
      <c r="B230" s="308"/>
      <c r="C230" s="308"/>
      <c r="D230" s="244"/>
      <c r="E230" s="35"/>
      <c r="F230" s="32"/>
      <c r="G230" s="36"/>
      <c r="H230" s="244"/>
      <c r="I230" s="308"/>
      <c r="J230" s="308"/>
      <c r="K230" s="244"/>
      <c r="L230" s="308"/>
      <c r="M230" s="308"/>
      <c r="N230" s="308"/>
      <c r="O230" s="308"/>
      <c r="P230" s="277"/>
      <c r="Q230" s="277"/>
      <c r="R230" s="277"/>
      <c r="S230" s="277"/>
      <c r="T230" s="277"/>
      <c r="U230" s="277"/>
      <c r="V230" s="277"/>
      <c r="W230" s="277"/>
    </row>
    <row r="231" spans="1:23" s="278" customFormat="1" ht="22.5" customHeight="1" x14ac:dyDescent="0.2">
      <c r="A231" s="294"/>
      <c r="B231" s="308"/>
      <c r="C231" s="308"/>
      <c r="D231" s="244"/>
      <c r="E231" s="48"/>
      <c r="F231" s="47"/>
      <c r="G231" s="49"/>
      <c r="H231" s="244"/>
      <c r="I231" s="308"/>
      <c r="J231" s="308"/>
      <c r="K231" s="244"/>
      <c r="L231" s="308"/>
      <c r="M231" s="308"/>
      <c r="N231" s="308"/>
      <c r="O231" s="308"/>
      <c r="P231" s="277"/>
      <c r="Q231" s="277"/>
      <c r="R231" s="277"/>
      <c r="S231" s="277"/>
      <c r="T231" s="277"/>
      <c r="U231" s="277"/>
      <c r="V231" s="277"/>
      <c r="W231" s="277"/>
    </row>
    <row r="232" spans="1:23" s="278" customFormat="1" ht="22.5" customHeight="1" x14ac:dyDescent="0.2">
      <c r="A232" s="294"/>
      <c r="B232" s="308"/>
      <c r="C232" s="308"/>
      <c r="D232" s="244"/>
      <c r="E232" s="35"/>
      <c r="F232" s="32"/>
      <c r="G232" s="36"/>
      <c r="H232" s="244"/>
      <c r="I232" s="308"/>
      <c r="J232" s="308"/>
      <c r="K232" s="244"/>
      <c r="L232" s="308"/>
      <c r="M232" s="308"/>
      <c r="N232" s="308"/>
      <c r="O232" s="308"/>
      <c r="P232" s="277"/>
      <c r="Q232" s="277"/>
      <c r="R232" s="277"/>
      <c r="S232" s="277"/>
      <c r="T232" s="277"/>
      <c r="U232" s="277"/>
      <c r="V232" s="277"/>
      <c r="W232" s="277"/>
    </row>
    <row r="233" spans="1:23" s="278" customFormat="1" ht="22.5" customHeight="1" x14ac:dyDescent="0.2">
      <c r="A233" s="294"/>
      <c r="B233" s="308"/>
      <c r="C233" s="308"/>
      <c r="D233" s="244"/>
      <c r="E233" s="48"/>
      <c r="F233" s="47"/>
      <c r="G233" s="49"/>
      <c r="H233" s="244"/>
      <c r="I233" s="308"/>
      <c r="J233" s="308"/>
      <c r="K233" s="244"/>
      <c r="L233" s="308"/>
      <c r="M233" s="308"/>
      <c r="N233" s="308"/>
      <c r="O233" s="308"/>
      <c r="P233" s="277"/>
      <c r="Q233" s="277"/>
      <c r="R233" s="277"/>
      <c r="S233" s="277"/>
      <c r="T233" s="277"/>
      <c r="U233" s="277"/>
      <c r="V233" s="277"/>
      <c r="W233" s="277"/>
    </row>
    <row r="234" spans="1:23" s="278" customFormat="1" ht="22.5" customHeight="1" x14ac:dyDescent="0.2">
      <c r="A234" s="294"/>
      <c r="B234" s="308"/>
      <c r="C234" s="308"/>
      <c r="D234" s="244"/>
      <c r="E234" s="35"/>
      <c r="F234" s="32"/>
      <c r="G234" s="36"/>
      <c r="H234" s="244"/>
      <c r="I234" s="308"/>
      <c r="J234" s="308"/>
      <c r="K234" s="244"/>
      <c r="L234" s="308"/>
      <c r="M234" s="308"/>
      <c r="N234" s="308"/>
      <c r="O234" s="308"/>
      <c r="P234" s="277"/>
      <c r="Q234" s="277"/>
      <c r="R234" s="277"/>
      <c r="S234" s="277"/>
      <c r="T234" s="277"/>
      <c r="U234" s="277"/>
      <c r="V234" s="277"/>
      <c r="W234" s="277"/>
    </row>
    <row r="235" spans="1:23" s="278" customFormat="1" ht="22.5" customHeight="1" x14ac:dyDescent="0.2">
      <c r="A235" s="294"/>
      <c r="B235" s="308"/>
      <c r="C235" s="308"/>
      <c r="D235" s="244"/>
      <c r="E235" s="48"/>
      <c r="F235" s="47"/>
      <c r="G235" s="49"/>
      <c r="H235" s="244"/>
      <c r="I235" s="308"/>
      <c r="J235" s="308"/>
      <c r="K235" s="244"/>
      <c r="L235" s="308"/>
      <c r="M235" s="308"/>
      <c r="N235" s="308"/>
      <c r="O235" s="308"/>
      <c r="P235" s="277"/>
      <c r="Q235" s="277"/>
      <c r="R235" s="277"/>
      <c r="S235" s="277"/>
      <c r="T235" s="277"/>
      <c r="U235" s="277"/>
      <c r="V235" s="277"/>
      <c r="W235" s="277"/>
    </row>
    <row r="236" spans="1:23" s="278" customFormat="1" ht="22.5" customHeight="1" x14ac:dyDescent="0.2">
      <c r="A236" s="294"/>
      <c r="B236" s="308"/>
      <c r="C236" s="308"/>
      <c r="D236" s="244"/>
      <c r="E236" s="35"/>
      <c r="F236" s="32"/>
      <c r="G236" s="36"/>
      <c r="H236" s="244"/>
      <c r="I236" s="308"/>
      <c r="J236" s="308"/>
      <c r="K236" s="244"/>
      <c r="L236" s="308"/>
      <c r="M236" s="308"/>
      <c r="N236" s="308"/>
      <c r="O236" s="308"/>
      <c r="P236" s="277"/>
      <c r="Q236" s="277"/>
      <c r="R236" s="277"/>
      <c r="S236" s="277"/>
      <c r="T236" s="277"/>
      <c r="U236" s="277"/>
      <c r="V236" s="277"/>
      <c r="W236" s="277"/>
    </row>
    <row r="237" spans="1:23" s="278" customFormat="1" ht="22.5" customHeight="1" x14ac:dyDescent="0.2">
      <c r="A237" s="294"/>
      <c r="B237" s="308"/>
      <c r="C237" s="308"/>
      <c r="D237" s="244"/>
      <c r="E237" s="48"/>
      <c r="F237" s="47"/>
      <c r="G237" s="49"/>
      <c r="H237" s="244"/>
      <c r="I237" s="308"/>
      <c r="J237" s="308"/>
      <c r="K237" s="244"/>
      <c r="L237" s="308"/>
      <c r="M237" s="308"/>
      <c r="N237" s="308"/>
      <c r="O237" s="308"/>
      <c r="P237" s="277"/>
      <c r="Q237" s="277"/>
      <c r="R237" s="277"/>
      <c r="S237" s="277"/>
      <c r="T237" s="277"/>
      <c r="U237" s="277"/>
      <c r="V237" s="277"/>
      <c r="W237" s="277"/>
    </row>
    <row r="238" spans="1:23" s="278" customFormat="1" ht="22.5" customHeight="1" x14ac:dyDescent="0.2">
      <c r="A238" s="294"/>
      <c r="B238" s="308"/>
      <c r="C238" s="308"/>
      <c r="D238" s="244"/>
      <c r="E238" s="35"/>
      <c r="F238" s="32"/>
      <c r="G238" s="36"/>
      <c r="H238" s="244"/>
      <c r="I238" s="308"/>
      <c r="J238" s="308"/>
      <c r="K238" s="244"/>
      <c r="L238" s="308"/>
      <c r="M238" s="308"/>
      <c r="N238" s="308"/>
      <c r="O238" s="308"/>
      <c r="P238" s="277"/>
      <c r="Q238" s="277"/>
      <c r="R238" s="277"/>
      <c r="S238" s="277"/>
      <c r="T238" s="277"/>
      <c r="U238" s="277"/>
      <c r="V238" s="277"/>
      <c r="W238" s="277"/>
    </row>
    <row r="239" spans="1:23" s="278" customFormat="1" ht="22.5" customHeight="1" x14ac:dyDescent="0.2">
      <c r="A239" s="294"/>
      <c r="B239" s="308"/>
      <c r="C239" s="308"/>
      <c r="D239" s="244"/>
      <c r="E239" s="48"/>
      <c r="F239" s="47"/>
      <c r="G239" s="49"/>
      <c r="H239" s="244"/>
      <c r="I239" s="308"/>
      <c r="J239" s="308"/>
      <c r="K239" s="244"/>
      <c r="L239" s="308"/>
      <c r="M239" s="308"/>
      <c r="N239" s="308"/>
      <c r="O239" s="308"/>
      <c r="P239" s="277"/>
      <c r="Q239" s="277"/>
      <c r="R239" s="277"/>
      <c r="S239" s="277"/>
      <c r="T239" s="277"/>
      <c r="U239" s="277"/>
      <c r="V239" s="277"/>
      <c r="W239" s="277"/>
    </row>
    <row r="240" spans="1:23" s="278" customFormat="1" ht="22.5" customHeight="1" x14ac:dyDescent="0.2">
      <c r="A240" s="294"/>
      <c r="B240" s="308"/>
      <c r="C240" s="308"/>
      <c r="D240" s="244"/>
      <c r="E240" s="35"/>
      <c r="F240" s="32"/>
      <c r="G240" s="36"/>
      <c r="H240" s="244"/>
      <c r="I240" s="308"/>
      <c r="J240" s="308"/>
      <c r="K240" s="244"/>
      <c r="L240" s="308"/>
      <c r="M240" s="308"/>
      <c r="N240" s="308"/>
      <c r="O240" s="308"/>
      <c r="P240" s="277"/>
      <c r="Q240" s="277"/>
      <c r="R240" s="277"/>
      <c r="S240" s="277"/>
      <c r="T240" s="277"/>
      <c r="U240" s="277"/>
      <c r="V240" s="277"/>
      <c r="W240" s="277"/>
    </row>
    <row r="241" spans="1:23" s="278" customFormat="1" ht="22.5" customHeight="1" x14ac:dyDescent="0.2">
      <c r="A241" s="294"/>
      <c r="B241" s="308"/>
      <c r="C241" s="308"/>
      <c r="D241" s="244"/>
      <c r="E241" s="48"/>
      <c r="F241" s="47"/>
      <c r="G241" s="49"/>
      <c r="H241" s="244"/>
      <c r="I241" s="308"/>
      <c r="J241" s="308"/>
      <c r="K241" s="244"/>
      <c r="L241" s="308"/>
      <c r="M241" s="308"/>
      <c r="N241" s="308"/>
      <c r="O241" s="308"/>
      <c r="P241" s="277"/>
      <c r="Q241" s="277"/>
      <c r="R241" s="277"/>
      <c r="S241" s="277"/>
      <c r="T241" s="277"/>
      <c r="U241" s="277"/>
      <c r="V241" s="277"/>
      <c r="W241" s="277"/>
    </row>
    <row r="242" spans="1:23" s="278" customFormat="1" ht="22.5" customHeight="1" x14ac:dyDescent="0.2">
      <c r="A242" s="294"/>
      <c r="B242" s="308"/>
      <c r="C242" s="308"/>
      <c r="D242" s="244"/>
      <c r="E242" s="35"/>
      <c r="F242" s="32"/>
      <c r="G242" s="36"/>
      <c r="H242" s="244"/>
      <c r="I242" s="308"/>
      <c r="J242" s="308"/>
      <c r="K242" s="244"/>
      <c r="L242" s="308"/>
      <c r="M242" s="308"/>
      <c r="N242" s="308"/>
      <c r="O242" s="308"/>
      <c r="P242" s="277"/>
      <c r="Q242" s="277"/>
      <c r="R242" s="277"/>
      <c r="S242" s="277"/>
      <c r="T242" s="277"/>
      <c r="U242" s="277"/>
      <c r="V242" s="277"/>
      <c r="W242" s="277"/>
    </row>
    <row r="243" spans="1:23" s="278" customFormat="1" ht="22.5" customHeight="1" x14ac:dyDescent="0.2">
      <c r="A243" s="294"/>
      <c r="B243" s="308"/>
      <c r="C243" s="308"/>
      <c r="D243" s="244"/>
      <c r="E243" s="48"/>
      <c r="F243" s="47"/>
      <c r="G243" s="49"/>
      <c r="H243" s="244"/>
      <c r="I243" s="308"/>
      <c r="J243" s="308"/>
      <c r="K243" s="244"/>
      <c r="L243" s="308"/>
      <c r="M243" s="308"/>
      <c r="N243" s="308"/>
      <c r="O243" s="308"/>
      <c r="P243" s="277"/>
      <c r="Q243" s="277"/>
      <c r="R243" s="277"/>
      <c r="S243" s="277"/>
      <c r="T243" s="277"/>
      <c r="U243" s="277"/>
      <c r="V243" s="277"/>
      <c r="W243" s="277"/>
    </row>
    <row r="244" spans="1:23" s="278" customFormat="1" ht="22.5" customHeight="1" x14ac:dyDescent="0.2">
      <c r="A244" s="294"/>
      <c r="B244" s="308"/>
      <c r="C244" s="308"/>
      <c r="D244" s="244"/>
      <c r="E244" s="35"/>
      <c r="F244" s="32"/>
      <c r="G244" s="36"/>
      <c r="H244" s="244"/>
      <c r="I244" s="308"/>
      <c r="J244" s="308"/>
      <c r="K244" s="244"/>
      <c r="L244" s="308"/>
      <c r="M244" s="308"/>
      <c r="N244" s="308"/>
      <c r="O244" s="308"/>
      <c r="P244" s="277"/>
      <c r="Q244" s="277"/>
      <c r="R244" s="277"/>
      <c r="S244" s="277"/>
      <c r="T244" s="277"/>
      <c r="U244" s="277"/>
      <c r="V244" s="277"/>
      <c r="W244" s="277"/>
    </row>
    <row r="245" spans="1:23" s="278" customFormat="1" ht="22.5" customHeight="1" x14ac:dyDescent="0.2">
      <c r="A245" s="294"/>
      <c r="B245" s="308"/>
      <c r="C245" s="308"/>
      <c r="D245" s="244"/>
      <c r="E245" s="48"/>
      <c r="F245" s="47"/>
      <c r="G245" s="49"/>
      <c r="H245" s="244"/>
      <c r="I245" s="308"/>
      <c r="J245" s="308"/>
      <c r="K245" s="244"/>
      <c r="L245" s="308"/>
      <c r="M245" s="308"/>
      <c r="N245" s="308"/>
      <c r="O245" s="308"/>
      <c r="P245" s="277"/>
      <c r="Q245" s="277"/>
      <c r="R245" s="277"/>
      <c r="S245" s="277"/>
      <c r="T245" s="277"/>
      <c r="U245" s="277"/>
      <c r="V245" s="277"/>
      <c r="W245" s="277"/>
    </row>
    <row r="246" spans="1:23" s="278" customFormat="1" ht="22.5" customHeight="1" x14ac:dyDescent="0.2">
      <c r="A246" s="246"/>
      <c r="B246" s="246"/>
      <c r="C246" s="246"/>
      <c r="D246" s="244"/>
      <c r="E246" s="35"/>
      <c r="F246" s="32"/>
      <c r="G246" s="36"/>
      <c r="H246" s="244"/>
      <c r="I246" s="246"/>
      <c r="J246" s="246"/>
      <c r="K246" s="244"/>
      <c r="L246" s="246"/>
      <c r="M246" s="246"/>
      <c r="N246" s="246"/>
      <c r="O246" s="246"/>
    </row>
    <row r="247" spans="1:23" s="278" customFormat="1" ht="22.5" customHeight="1" x14ac:dyDescent="0.2">
      <c r="A247" s="246"/>
      <c r="B247" s="246"/>
      <c r="C247" s="246"/>
      <c r="D247" s="244"/>
      <c r="E247" s="48"/>
      <c r="F247" s="47"/>
      <c r="G247" s="49"/>
      <c r="H247" s="244"/>
      <c r="I247" s="246"/>
      <c r="J247" s="246"/>
      <c r="K247" s="244"/>
      <c r="L247" s="246"/>
      <c r="M247" s="246"/>
      <c r="N247" s="246"/>
      <c r="O247" s="246"/>
    </row>
    <row r="248" spans="1:23" s="278" customFormat="1" ht="22.5" customHeight="1" x14ac:dyDescent="0.2">
      <c r="A248" s="246"/>
      <c r="B248" s="246"/>
      <c r="C248" s="246"/>
      <c r="D248" s="244"/>
      <c r="E248" s="35"/>
      <c r="F248" s="32"/>
      <c r="G248" s="36"/>
      <c r="H248" s="244"/>
      <c r="I248" s="246"/>
      <c r="J248" s="246"/>
      <c r="K248" s="244"/>
      <c r="L248" s="246"/>
      <c r="M248" s="246"/>
      <c r="N248" s="246"/>
      <c r="O248" s="246"/>
    </row>
    <row r="249" spans="1:23" s="278" customFormat="1" ht="22.5" customHeight="1" x14ac:dyDescent="0.2">
      <c r="A249" s="246"/>
      <c r="B249" s="246"/>
      <c r="C249" s="246"/>
      <c r="D249" s="244"/>
      <c r="E249" s="48"/>
      <c r="F249" s="47"/>
      <c r="G249" s="49"/>
      <c r="H249" s="244"/>
      <c r="I249" s="246"/>
      <c r="J249" s="246"/>
      <c r="K249" s="244"/>
      <c r="L249" s="246"/>
      <c r="M249" s="246"/>
      <c r="N249" s="246"/>
      <c r="O249" s="246"/>
    </row>
    <row r="250" spans="1:23" s="278" customFormat="1" ht="22.5" customHeight="1" x14ac:dyDescent="0.2">
      <c r="A250" s="246"/>
      <c r="B250" s="246"/>
      <c r="C250" s="246"/>
      <c r="D250" s="244"/>
      <c r="E250" s="35"/>
      <c r="F250" s="32"/>
      <c r="G250" s="36"/>
      <c r="H250" s="244"/>
      <c r="I250" s="246"/>
      <c r="J250" s="246"/>
      <c r="K250" s="244"/>
      <c r="L250" s="246"/>
      <c r="M250" s="246"/>
      <c r="N250" s="246"/>
      <c r="O250" s="246"/>
    </row>
    <row r="251" spans="1:23" s="278" customFormat="1" ht="22.5" customHeight="1" x14ac:dyDescent="0.2">
      <c r="A251" s="246"/>
      <c r="B251" s="246"/>
      <c r="C251" s="246"/>
      <c r="D251" s="244"/>
      <c r="E251" s="48"/>
      <c r="F251" s="47"/>
      <c r="G251" s="49"/>
      <c r="H251" s="244"/>
      <c r="I251" s="246"/>
      <c r="J251" s="246"/>
      <c r="K251" s="244"/>
      <c r="L251" s="246"/>
      <c r="M251" s="246"/>
      <c r="N251" s="246"/>
      <c r="O251" s="246"/>
    </row>
    <row r="252" spans="1:23" s="278" customFormat="1" ht="22.5" customHeight="1" x14ac:dyDescent="0.2">
      <c r="A252" s="246"/>
      <c r="B252" s="246"/>
      <c r="C252" s="246"/>
      <c r="D252" s="244"/>
      <c r="E252" s="35"/>
      <c r="F252" s="32"/>
      <c r="G252" s="36"/>
      <c r="H252" s="244"/>
      <c r="I252" s="246"/>
      <c r="J252" s="246"/>
      <c r="K252" s="244"/>
      <c r="L252" s="246"/>
      <c r="M252" s="246"/>
      <c r="N252" s="246"/>
      <c r="O252" s="246"/>
    </row>
    <row r="253" spans="1:23" s="278" customFormat="1" ht="22.5" customHeight="1" x14ac:dyDescent="0.2">
      <c r="A253" s="246"/>
      <c r="B253" s="246"/>
      <c r="C253" s="246"/>
      <c r="D253" s="244"/>
      <c r="E253" s="48"/>
      <c r="F253" s="47"/>
      <c r="G253" s="49"/>
      <c r="H253" s="244"/>
      <c r="I253" s="246"/>
      <c r="J253" s="246"/>
      <c r="K253" s="244"/>
      <c r="L253" s="246"/>
      <c r="M253" s="246"/>
      <c r="N253" s="246"/>
      <c r="O253" s="246"/>
    </row>
    <row r="254" spans="1:23" s="278" customFormat="1" ht="22.5" customHeight="1" x14ac:dyDescent="0.2">
      <c r="A254" s="246"/>
      <c r="B254" s="246"/>
      <c r="C254" s="246"/>
      <c r="D254" s="244"/>
      <c r="E254" s="35"/>
      <c r="F254" s="32"/>
      <c r="G254" s="36"/>
      <c r="H254" s="244"/>
      <c r="I254" s="246"/>
      <c r="J254" s="246"/>
      <c r="K254" s="244"/>
      <c r="L254" s="246"/>
      <c r="M254" s="246"/>
      <c r="N254" s="246"/>
      <c r="O254" s="246"/>
    </row>
    <row r="255" spans="1:23" s="278" customFormat="1" ht="22.5" customHeight="1" x14ac:dyDescent="0.2">
      <c r="A255" s="246"/>
      <c r="B255" s="246"/>
      <c r="C255" s="246"/>
      <c r="D255" s="244"/>
      <c r="E255" s="48"/>
      <c r="F255" s="47"/>
      <c r="G255" s="49"/>
      <c r="H255" s="244"/>
      <c r="I255" s="246"/>
      <c r="J255" s="246"/>
      <c r="K255" s="244"/>
      <c r="L255" s="246"/>
      <c r="M255" s="246"/>
      <c r="N255" s="246"/>
      <c r="O255" s="246"/>
    </row>
    <row r="256" spans="1:23" s="278" customFormat="1" ht="22.5" customHeight="1" x14ac:dyDescent="0.2">
      <c r="A256" s="246"/>
      <c r="B256" s="246"/>
      <c r="C256" s="246"/>
      <c r="D256" s="244"/>
      <c r="E256" s="35"/>
      <c r="F256" s="32"/>
      <c r="G256" s="36"/>
      <c r="H256" s="244"/>
      <c r="I256" s="246"/>
      <c r="J256" s="246"/>
      <c r="K256" s="244"/>
      <c r="L256" s="246"/>
      <c r="M256" s="246"/>
      <c r="N256" s="246"/>
      <c r="O256" s="246"/>
    </row>
    <row r="257" spans="1:15" s="278" customFormat="1" ht="22.5" customHeight="1" x14ac:dyDescent="0.2">
      <c r="A257" s="246"/>
      <c r="B257" s="246"/>
      <c r="C257" s="246"/>
      <c r="D257" s="244"/>
      <c r="E257" s="48"/>
      <c r="F257" s="47"/>
      <c r="G257" s="49"/>
      <c r="H257" s="244"/>
      <c r="I257" s="246"/>
      <c r="J257" s="246"/>
      <c r="K257" s="244"/>
      <c r="L257" s="246"/>
      <c r="M257" s="246"/>
      <c r="N257" s="246"/>
      <c r="O257" s="246"/>
    </row>
    <row r="258" spans="1:15" s="278" customFormat="1" ht="22.5" customHeight="1" x14ac:dyDescent="0.2">
      <c r="A258" s="246"/>
      <c r="B258" s="246"/>
      <c r="C258" s="246"/>
      <c r="D258" s="244"/>
      <c r="E258" s="35"/>
      <c r="F258" s="32"/>
      <c r="G258" s="36"/>
      <c r="H258" s="244"/>
      <c r="I258" s="246"/>
      <c r="J258" s="246"/>
      <c r="K258" s="244"/>
      <c r="L258" s="246"/>
      <c r="M258" s="246"/>
      <c r="N258" s="246"/>
      <c r="O258" s="246"/>
    </row>
    <row r="259" spans="1:15" s="278" customFormat="1" ht="22.5" customHeight="1" x14ac:dyDescent="0.2">
      <c r="A259" s="246"/>
      <c r="B259" s="246"/>
      <c r="C259" s="246"/>
      <c r="D259" s="244"/>
      <c r="E259" s="48"/>
      <c r="F259" s="47"/>
      <c r="G259" s="49"/>
      <c r="H259" s="244"/>
      <c r="I259" s="246"/>
      <c r="J259" s="246"/>
      <c r="K259" s="244"/>
      <c r="L259" s="246"/>
      <c r="M259" s="246"/>
      <c r="N259" s="246"/>
      <c r="O259" s="246"/>
    </row>
    <row r="260" spans="1:15" s="278" customFormat="1" ht="22.5" customHeight="1" x14ac:dyDescent="0.2">
      <c r="A260" s="246"/>
      <c r="B260" s="246"/>
      <c r="C260" s="246"/>
      <c r="D260" s="244"/>
      <c r="E260" s="35"/>
      <c r="F260" s="32"/>
      <c r="G260" s="36"/>
      <c r="H260" s="244"/>
      <c r="I260" s="246"/>
      <c r="J260" s="246"/>
      <c r="K260" s="244"/>
      <c r="L260" s="246"/>
      <c r="M260" s="246"/>
      <c r="N260" s="246"/>
      <c r="O260" s="246"/>
    </row>
    <row r="261" spans="1:15" s="278" customFormat="1" ht="22.5" customHeight="1" x14ac:dyDescent="0.2">
      <c r="A261" s="246"/>
      <c r="B261" s="246"/>
      <c r="C261" s="246"/>
      <c r="D261" s="244"/>
      <c r="E261" s="48"/>
      <c r="F261" s="47"/>
      <c r="G261" s="49"/>
      <c r="H261" s="244"/>
      <c r="I261" s="246"/>
      <c r="J261" s="246"/>
      <c r="K261" s="244"/>
      <c r="L261" s="246"/>
      <c r="M261" s="246"/>
      <c r="N261" s="246"/>
      <c r="O261" s="246"/>
    </row>
    <row r="262" spans="1:15" s="278" customFormat="1" ht="22.5" customHeight="1" x14ac:dyDescent="0.2">
      <c r="A262" s="246"/>
      <c r="B262" s="246"/>
      <c r="C262" s="246"/>
      <c r="D262" s="244"/>
      <c r="E262" s="35"/>
      <c r="F262" s="32"/>
      <c r="G262" s="36"/>
      <c r="H262" s="244"/>
      <c r="I262" s="246"/>
      <c r="J262" s="246"/>
      <c r="K262" s="244"/>
      <c r="L262" s="246"/>
      <c r="M262" s="246"/>
      <c r="N262" s="246"/>
      <c r="O262" s="246"/>
    </row>
    <row r="263" spans="1:15" s="278" customFormat="1" ht="22.5" customHeight="1" x14ac:dyDescent="0.2">
      <c r="A263" s="246"/>
      <c r="B263" s="246"/>
      <c r="C263" s="246"/>
      <c r="D263" s="244"/>
      <c r="E263" s="48"/>
      <c r="F263" s="47"/>
      <c r="G263" s="49"/>
      <c r="H263" s="244"/>
      <c r="I263" s="246"/>
      <c r="J263" s="246"/>
      <c r="K263" s="244"/>
      <c r="L263" s="246"/>
      <c r="M263" s="246"/>
      <c r="N263" s="246"/>
      <c r="O263" s="246"/>
    </row>
    <row r="264" spans="1:15" s="278" customFormat="1" ht="22.5" customHeight="1" x14ac:dyDescent="0.2">
      <c r="A264" s="246"/>
      <c r="B264" s="246"/>
      <c r="C264" s="246"/>
      <c r="D264" s="244"/>
      <c r="E264" s="35"/>
      <c r="F264" s="32"/>
      <c r="G264" s="36"/>
      <c r="H264" s="244"/>
      <c r="I264" s="246"/>
      <c r="J264" s="246"/>
      <c r="K264" s="244"/>
      <c r="L264" s="246"/>
      <c r="M264" s="246"/>
      <c r="N264" s="246"/>
      <c r="O264" s="246"/>
    </row>
    <row r="265" spans="1:15" s="278" customFormat="1" ht="22.5" customHeight="1" x14ac:dyDescent="0.2">
      <c r="A265" s="246"/>
      <c r="B265" s="246"/>
      <c r="C265" s="246"/>
      <c r="D265" s="244"/>
      <c r="E265" s="48"/>
      <c r="F265" s="47"/>
      <c r="G265" s="49"/>
      <c r="H265" s="244"/>
      <c r="I265" s="246"/>
      <c r="J265" s="246"/>
      <c r="K265" s="244"/>
      <c r="L265" s="246"/>
      <c r="M265" s="246"/>
      <c r="N265" s="246"/>
      <c r="O265" s="246"/>
    </row>
    <row r="266" spans="1:15" s="278" customFormat="1" ht="19.5" customHeight="1" x14ac:dyDescent="0.2">
      <c r="A266" s="246"/>
      <c r="B266" s="246"/>
      <c r="C266" s="246"/>
      <c r="D266" s="244"/>
      <c r="E266" s="35"/>
      <c r="F266" s="32"/>
      <c r="G266" s="36"/>
      <c r="H266" s="244"/>
      <c r="I266" s="246"/>
      <c r="J266" s="246"/>
      <c r="K266" s="244"/>
      <c r="L266" s="246"/>
      <c r="M266" s="246"/>
      <c r="N266" s="246"/>
      <c r="O266" s="246"/>
    </row>
    <row r="267" spans="1:15" s="278" customFormat="1" ht="19.5" customHeight="1" x14ac:dyDescent="0.2">
      <c r="A267" s="246"/>
      <c r="B267" s="246"/>
      <c r="C267" s="246"/>
      <c r="D267" s="244"/>
      <c r="E267" s="48"/>
      <c r="F267" s="47"/>
      <c r="G267" s="49"/>
      <c r="H267" s="244"/>
      <c r="I267" s="246"/>
      <c r="J267" s="246"/>
      <c r="K267" s="244"/>
      <c r="L267" s="246"/>
      <c r="M267" s="246"/>
      <c r="N267" s="246"/>
      <c r="O267" s="246"/>
    </row>
    <row r="268" spans="1:15" s="278" customFormat="1" ht="19.5" customHeight="1" x14ac:dyDescent="0.2">
      <c r="A268" s="246"/>
      <c r="B268" s="246"/>
      <c r="C268" s="246"/>
      <c r="D268" s="244"/>
      <c r="E268" s="35"/>
      <c r="F268" s="32"/>
      <c r="G268" s="36"/>
      <c r="H268" s="244"/>
      <c r="I268" s="246"/>
      <c r="J268" s="246"/>
      <c r="K268" s="244"/>
      <c r="L268" s="246"/>
      <c r="M268" s="246"/>
      <c r="N268" s="246"/>
      <c r="O268" s="246"/>
    </row>
    <row r="269" spans="1:15" s="278" customFormat="1" ht="19.5" customHeight="1" x14ac:dyDescent="0.2">
      <c r="A269" s="246"/>
      <c r="B269" s="246"/>
      <c r="C269" s="246"/>
      <c r="D269" s="244"/>
      <c r="E269" s="48"/>
      <c r="F269" s="47"/>
      <c r="G269" s="49"/>
      <c r="H269" s="244"/>
      <c r="I269" s="246"/>
      <c r="J269" s="246"/>
      <c r="K269" s="244"/>
      <c r="L269" s="246"/>
      <c r="M269" s="246"/>
      <c r="N269" s="246"/>
      <c r="O269" s="246"/>
    </row>
    <row r="270" spans="1:15" s="278" customFormat="1" ht="19.5" customHeight="1" x14ac:dyDescent="0.2">
      <c r="A270" s="246"/>
      <c r="B270" s="246"/>
      <c r="C270" s="246"/>
      <c r="D270" s="244"/>
      <c r="E270" s="35"/>
      <c r="F270" s="32"/>
      <c r="G270" s="36"/>
      <c r="H270" s="244"/>
      <c r="I270" s="246"/>
      <c r="J270" s="246"/>
      <c r="K270" s="244"/>
      <c r="L270" s="246"/>
      <c r="M270" s="246"/>
      <c r="N270" s="246"/>
      <c r="O270" s="246"/>
    </row>
    <row r="271" spans="1:15" s="278" customFormat="1" ht="19.5" customHeight="1" x14ac:dyDescent="0.2">
      <c r="A271" s="246"/>
      <c r="B271" s="246"/>
      <c r="C271" s="246"/>
      <c r="D271" s="244"/>
      <c r="E271" s="48"/>
      <c r="F271" s="47"/>
      <c r="G271" s="49"/>
      <c r="H271" s="244"/>
      <c r="I271" s="246"/>
      <c r="J271" s="246"/>
      <c r="K271" s="244"/>
      <c r="L271" s="246"/>
      <c r="M271" s="246"/>
      <c r="N271" s="246"/>
      <c r="O271" s="246"/>
    </row>
    <row r="272" spans="1:15" s="278" customFormat="1" ht="19.5" customHeight="1" x14ac:dyDescent="0.2">
      <c r="A272" s="246"/>
      <c r="B272" s="246"/>
      <c r="C272" s="246"/>
      <c r="D272" s="244"/>
      <c r="E272" s="35"/>
      <c r="F272" s="32"/>
      <c r="G272" s="36"/>
      <c r="H272" s="244"/>
      <c r="I272" s="246"/>
      <c r="J272" s="246"/>
      <c r="K272" s="244"/>
      <c r="L272" s="246"/>
      <c r="M272" s="246"/>
      <c r="N272" s="246"/>
      <c r="O272" s="246"/>
    </row>
    <row r="273" spans="1:15" s="278" customFormat="1" ht="19.5" customHeight="1" x14ac:dyDescent="0.2">
      <c r="A273" s="246"/>
      <c r="B273" s="246"/>
      <c r="C273" s="246"/>
      <c r="D273" s="244"/>
      <c r="E273" s="48"/>
      <c r="F273" s="47"/>
      <c r="G273" s="49"/>
      <c r="H273" s="244"/>
      <c r="I273" s="246"/>
      <c r="J273" s="246"/>
      <c r="K273" s="244"/>
      <c r="L273" s="246"/>
      <c r="M273" s="246"/>
      <c r="N273" s="246"/>
      <c r="O273" s="246"/>
    </row>
    <row r="274" spans="1:15" s="278" customFormat="1" ht="19.5" customHeight="1" x14ac:dyDescent="0.2">
      <c r="A274" s="246"/>
      <c r="B274" s="246"/>
      <c r="C274" s="246"/>
      <c r="D274" s="244"/>
      <c r="E274" s="35"/>
      <c r="F274" s="32"/>
      <c r="G274" s="36"/>
      <c r="H274" s="244"/>
      <c r="I274" s="246"/>
      <c r="J274" s="246"/>
      <c r="K274" s="244"/>
      <c r="L274" s="246"/>
      <c r="M274" s="246"/>
      <c r="N274" s="246"/>
      <c r="O274" s="246"/>
    </row>
    <row r="275" spans="1:15" s="278" customFormat="1" ht="19.5" customHeight="1" x14ac:dyDescent="0.2">
      <c r="A275" s="246"/>
      <c r="B275" s="246"/>
      <c r="C275" s="246"/>
      <c r="D275" s="244"/>
      <c r="E275" s="48"/>
      <c r="F275" s="47"/>
      <c r="G275" s="49"/>
      <c r="H275" s="244"/>
      <c r="I275" s="246"/>
      <c r="J275" s="246"/>
      <c r="K275" s="244"/>
      <c r="L275" s="246"/>
      <c r="M275" s="246"/>
      <c r="N275" s="246"/>
      <c r="O275" s="246"/>
    </row>
    <row r="276" spans="1:15" s="278" customFormat="1" ht="19.5" customHeight="1" x14ac:dyDescent="0.2">
      <c r="A276" s="246"/>
      <c r="B276" s="246"/>
      <c r="C276" s="246"/>
      <c r="D276" s="244"/>
      <c r="E276" s="35"/>
      <c r="F276" s="32"/>
      <c r="G276" s="36"/>
      <c r="H276" s="244"/>
      <c r="I276" s="246"/>
      <c r="J276" s="246"/>
      <c r="K276" s="244"/>
      <c r="L276" s="246"/>
      <c r="M276" s="246"/>
      <c r="N276" s="246"/>
      <c r="O276" s="246"/>
    </row>
    <row r="277" spans="1:15" s="278" customFormat="1" ht="19.5" customHeight="1" x14ac:dyDescent="0.2">
      <c r="A277" s="246"/>
      <c r="B277" s="246"/>
      <c r="C277" s="246"/>
      <c r="D277" s="244"/>
      <c r="E277" s="48"/>
      <c r="F277" s="47"/>
      <c r="G277" s="49"/>
      <c r="H277" s="244"/>
      <c r="I277" s="246"/>
      <c r="J277" s="246"/>
      <c r="K277" s="244"/>
      <c r="L277" s="246"/>
      <c r="M277" s="246"/>
      <c r="N277" s="246"/>
      <c r="O277" s="246"/>
    </row>
    <row r="278" spans="1:15" s="278" customFormat="1" ht="19.5" customHeight="1" x14ac:dyDescent="0.2">
      <c r="A278" s="246"/>
      <c r="B278" s="246"/>
      <c r="C278" s="246"/>
      <c r="D278" s="244"/>
      <c r="E278" s="35"/>
      <c r="F278" s="32"/>
      <c r="G278" s="36"/>
      <c r="H278" s="244"/>
      <c r="I278" s="246"/>
      <c r="J278" s="246"/>
      <c r="K278" s="244"/>
      <c r="L278" s="246"/>
      <c r="M278" s="246"/>
      <c r="N278" s="246"/>
      <c r="O278" s="246"/>
    </row>
    <row r="279" spans="1:15" s="278" customFormat="1" ht="19.5" customHeight="1" x14ac:dyDescent="0.2">
      <c r="A279" s="246"/>
      <c r="B279" s="246"/>
      <c r="C279" s="246"/>
      <c r="D279" s="244"/>
      <c r="E279" s="48"/>
      <c r="F279" s="47"/>
      <c r="G279" s="49"/>
      <c r="H279" s="244"/>
      <c r="I279" s="246"/>
      <c r="J279" s="246"/>
      <c r="K279" s="244"/>
      <c r="L279" s="246"/>
      <c r="M279" s="246"/>
      <c r="N279" s="246"/>
      <c r="O279" s="246"/>
    </row>
    <row r="280" spans="1:15" s="278" customFormat="1" ht="19.5" customHeight="1" x14ac:dyDescent="0.2">
      <c r="A280" s="246"/>
      <c r="B280" s="246"/>
      <c r="C280" s="246"/>
      <c r="D280" s="244"/>
      <c r="E280" s="35"/>
      <c r="F280" s="32"/>
      <c r="G280" s="36"/>
      <c r="H280" s="244"/>
      <c r="I280" s="246"/>
      <c r="J280" s="246"/>
      <c r="K280" s="244"/>
      <c r="L280" s="246"/>
      <c r="M280" s="246"/>
      <c r="N280" s="246"/>
      <c r="O280" s="246"/>
    </row>
    <row r="281" spans="1:15" s="278" customFormat="1" ht="19.5" customHeight="1" x14ac:dyDescent="0.2">
      <c r="A281" s="246"/>
      <c r="B281" s="246"/>
      <c r="C281" s="246"/>
      <c r="D281" s="244"/>
      <c r="E281" s="48"/>
      <c r="F281" s="47"/>
      <c r="G281" s="49"/>
      <c r="H281" s="244"/>
      <c r="I281" s="246"/>
      <c r="J281" s="246"/>
      <c r="K281" s="244"/>
      <c r="L281" s="246"/>
      <c r="M281" s="246"/>
      <c r="N281" s="246"/>
      <c r="O281" s="246"/>
    </row>
    <row r="282" spans="1:15" s="278" customFormat="1" ht="15.75" customHeight="1" x14ac:dyDescent="0.2">
      <c r="A282" s="246"/>
      <c r="B282" s="246"/>
      <c r="C282" s="246"/>
      <c r="D282" s="244"/>
      <c r="E282" s="35"/>
      <c r="F282" s="32"/>
      <c r="G282" s="36"/>
      <c r="H282" s="244"/>
      <c r="I282" s="246"/>
      <c r="J282" s="246"/>
      <c r="K282" s="244"/>
      <c r="L282" s="246"/>
      <c r="M282" s="246"/>
      <c r="N282" s="246"/>
      <c r="O282" s="246"/>
    </row>
    <row r="283" spans="1:15" s="278" customFormat="1" ht="15.75" customHeight="1" x14ac:dyDescent="0.2">
      <c r="A283" s="246"/>
      <c r="B283" s="246"/>
      <c r="C283" s="246"/>
      <c r="D283" s="244"/>
      <c r="E283" s="48"/>
      <c r="F283" s="47"/>
      <c r="G283" s="49"/>
      <c r="H283" s="244"/>
      <c r="I283" s="246"/>
      <c r="J283" s="246"/>
      <c r="K283" s="244"/>
      <c r="L283" s="246"/>
      <c r="M283" s="246"/>
      <c r="N283" s="246"/>
      <c r="O283" s="246"/>
    </row>
    <row r="284" spans="1:15" s="278" customFormat="1" ht="15.75" customHeight="1" x14ac:dyDescent="0.2">
      <c r="A284" s="246"/>
      <c r="B284" s="246"/>
      <c r="C284" s="246"/>
      <c r="D284" s="244"/>
      <c r="E284" s="35"/>
      <c r="F284" s="32"/>
      <c r="G284" s="36"/>
      <c r="H284" s="244"/>
      <c r="I284" s="246"/>
      <c r="J284" s="246"/>
      <c r="K284" s="244"/>
      <c r="L284" s="246"/>
      <c r="M284" s="246"/>
      <c r="N284" s="246"/>
      <c r="O284" s="246"/>
    </row>
    <row r="285" spans="1:15" s="278" customFormat="1" ht="15.75" customHeight="1" x14ac:dyDescent="0.2">
      <c r="A285" s="246"/>
      <c r="B285" s="246"/>
      <c r="C285" s="246"/>
      <c r="D285" s="244"/>
      <c r="E285" s="48"/>
      <c r="F285" s="47"/>
      <c r="G285" s="49"/>
      <c r="H285" s="244"/>
      <c r="I285" s="246"/>
      <c r="J285" s="246"/>
      <c r="K285" s="244"/>
      <c r="L285" s="246"/>
      <c r="M285" s="246"/>
      <c r="N285" s="246"/>
      <c r="O285" s="246"/>
    </row>
    <row r="286" spans="1:15" s="278" customFormat="1" ht="15.75" customHeight="1" x14ac:dyDescent="0.2">
      <c r="A286" s="246"/>
      <c r="B286" s="246"/>
      <c r="C286" s="246"/>
      <c r="D286" s="244"/>
      <c r="E286" s="35"/>
      <c r="F286" s="32"/>
      <c r="G286" s="36"/>
      <c r="H286" s="244"/>
      <c r="I286" s="246"/>
      <c r="J286" s="246"/>
      <c r="K286" s="244"/>
      <c r="L286" s="246"/>
      <c r="M286" s="246"/>
      <c r="N286" s="246"/>
      <c r="O286" s="246"/>
    </row>
    <row r="287" spans="1:15" s="278" customFormat="1" ht="15.75" customHeight="1" x14ac:dyDescent="0.2">
      <c r="A287" s="246"/>
      <c r="B287" s="246"/>
      <c r="C287" s="246"/>
      <c r="D287" s="244"/>
      <c r="E287" s="48"/>
      <c r="F287" s="47"/>
      <c r="G287" s="49"/>
      <c r="H287" s="244"/>
      <c r="I287" s="246"/>
      <c r="J287" s="246"/>
      <c r="K287" s="244"/>
      <c r="L287" s="246"/>
      <c r="M287" s="246"/>
      <c r="N287" s="246"/>
      <c r="O287" s="246"/>
    </row>
    <row r="288" spans="1:15" s="278" customFormat="1" ht="15.75" customHeight="1" x14ac:dyDescent="0.2">
      <c r="A288" s="246"/>
      <c r="B288" s="246"/>
      <c r="C288" s="246"/>
      <c r="D288" s="244"/>
      <c r="E288" s="35"/>
      <c r="F288" s="32"/>
      <c r="G288" s="36"/>
      <c r="H288" s="244"/>
      <c r="I288" s="246"/>
      <c r="J288" s="246"/>
      <c r="K288" s="244"/>
      <c r="L288" s="246"/>
      <c r="M288" s="246"/>
      <c r="N288" s="246"/>
      <c r="O288" s="246"/>
    </row>
    <row r="289" spans="1:15" s="278" customFormat="1" ht="15.75" customHeight="1" x14ac:dyDescent="0.2">
      <c r="A289" s="246"/>
      <c r="B289" s="246"/>
      <c r="C289" s="246"/>
      <c r="D289" s="244"/>
      <c r="E289" s="48"/>
      <c r="F289" s="47"/>
      <c r="G289" s="49"/>
      <c r="H289" s="244"/>
      <c r="I289" s="246"/>
      <c r="J289" s="246"/>
      <c r="K289" s="244"/>
      <c r="L289" s="246"/>
      <c r="M289" s="246"/>
      <c r="N289" s="246"/>
      <c r="O289" s="246"/>
    </row>
    <row r="290" spans="1:15" s="278" customFormat="1" ht="15.75" customHeight="1" x14ac:dyDescent="0.2">
      <c r="A290" s="246"/>
      <c r="B290" s="246"/>
      <c r="C290" s="246"/>
      <c r="D290" s="244"/>
      <c r="E290" s="35"/>
      <c r="F290" s="32"/>
      <c r="G290" s="36"/>
      <c r="H290" s="244"/>
      <c r="I290" s="246"/>
      <c r="J290" s="246"/>
      <c r="K290" s="244"/>
      <c r="L290" s="246"/>
      <c r="M290" s="246"/>
      <c r="N290" s="246"/>
      <c r="O290" s="246"/>
    </row>
    <row r="291" spans="1:15" s="278" customFormat="1" ht="15.75" customHeight="1" x14ac:dyDescent="0.2">
      <c r="A291" s="246"/>
      <c r="B291" s="246"/>
      <c r="C291" s="246"/>
      <c r="D291" s="244"/>
      <c r="E291" s="48"/>
      <c r="F291" s="47"/>
      <c r="G291" s="49"/>
      <c r="H291" s="244"/>
      <c r="I291" s="246"/>
      <c r="J291" s="246"/>
      <c r="K291" s="244"/>
      <c r="L291" s="246"/>
      <c r="M291" s="246"/>
      <c r="N291" s="246"/>
      <c r="O291" s="246"/>
    </row>
    <row r="292" spans="1:15" s="278" customFormat="1" ht="15.75" customHeight="1" x14ac:dyDescent="0.2">
      <c r="A292" s="246"/>
      <c r="B292" s="246"/>
      <c r="C292" s="246"/>
      <c r="D292" s="244"/>
      <c r="E292" s="35"/>
      <c r="F292" s="32"/>
      <c r="G292" s="36"/>
      <c r="H292" s="244"/>
      <c r="I292" s="246"/>
      <c r="J292" s="246"/>
      <c r="K292" s="244"/>
      <c r="L292" s="246"/>
      <c r="M292" s="246"/>
      <c r="N292" s="246"/>
      <c r="O292" s="246"/>
    </row>
    <row r="293" spans="1:15" s="278" customFormat="1" ht="15.75" customHeight="1" x14ac:dyDescent="0.2">
      <c r="A293" s="246"/>
      <c r="B293" s="246"/>
      <c r="C293" s="246"/>
      <c r="D293" s="244"/>
      <c r="E293" s="48"/>
      <c r="F293" s="47"/>
      <c r="G293" s="49"/>
      <c r="H293" s="244"/>
      <c r="I293" s="246"/>
      <c r="J293" s="246"/>
      <c r="K293" s="244"/>
      <c r="L293" s="246"/>
      <c r="M293" s="246"/>
      <c r="N293" s="246"/>
      <c r="O293" s="246"/>
    </row>
    <row r="294" spans="1:15" s="278" customFormat="1" ht="15.75" customHeight="1" x14ac:dyDescent="0.2">
      <c r="A294" s="246"/>
      <c r="B294" s="246"/>
      <c r="C294" s="246"/>
      <c r="D294" s="244"/>
      <c r="E294" s="35"/>
      <c r="F294" s="32"/>
      <c r="G294" s="36"/>
      <c r="H294" s="244"/>
      <c r="I294" s="246"/>
      <c r="J294" s="246"/>
      <c r="K294" s="244"/>
      <c r="L294" s="246"/>
      <c r="M294" s="246"/>
      <c r="N294" s="246"/>
      <c r="O294" s="246"/>
    </row>
    <row r="295" spans="1:15" s="278" customFormat="1" ht="15.75" customHeight="1" x14ac:dyDescent="0.2">
      <c r="A295" s="246"/>
      <c r="B295" s="246"/>
      <c r="C295" s="246"/>
      <c r="D295" s="244"/>
      <c r="E295" s="48"/>
      <c r="F295" s="47"/>
      <c r="G295" s="49"/>
      <c r="H295" s="244"/>
      <c r="I295" s="246"/>
      <c r="J295" s="246"/>
      <c r="K295" s="244"/>
      <c r="L295" s="246"/>
      <c r="M295" s="246"/>
      <c r="N295" s="246"/>
      <c r="O295" s="246"/>
    </row>
    <row r="296" spans="1:15" s="278" customFormat="1" ht="15.75" customHeight="1" x14ac:dyDescent="0.2">
      <c r="A296" s="246"/>
      <c r="B296" s="246"/>
      <c r="C296" s="246"/>
      <c r="D296" s="244"/>
      <c r="E296" s="35"/>
      <c r="F296" s="32"/>
      <c r="G296" s="36"/>
      <c r="H296" s="244"/>
      <c r="I296" s="246"/>
      <c r="J296" s="246"/>
      <c r="K296" s="244"/>
      <c r="L296" s="246"/>
      <c r="M296" s="246"/>
      <c r="N296" s="246"/>
      <c r="O296" s="246"/>
    </row>
    <row r="297" spans="1:15" s="278" customFormat="1" ht="15.75" customHeight="1" x14ac:dyDescent="0.2">
      <c r="A297" s="246"/>
      <c r="B297" s="246"/>
      <c r="C297" s="246"/>
      <c r="D297" s="244"/>
      <c r="E297" s="48"/>
      <c r="F297" s="47"/>
      <c r="G297" s="49"/>
      <c r="H297" s="244"/>
      <c r="I297" s="246"/>
      <c r="J297" s="246"/>
      <c r="K297" s="244"/>
      <c r="L297" s="246"/>
      <c r="M297" s="246"/>
      <c r="N297" s="246"/>
      <c r="O297" s="246"/>
    </row>
    <row r="298" spans="1:15" s="278" customFormat="1" ht="15.75" customHeight="1" x14ac:dyDescent="0.2">
      <c r="A298" s="246"/>
      <c r="B298" s="246"/>
      <c r="C298" s="246"/>
      <c r="D298" s="244"/>
      <c r="E298" s="35"/>
      <c r="F298" s="32"/>
      <c r="G298" s="36"/>
      <c r="H298" s="244"/>
      <c r="I298" s="246"/>
      <c r="J298" s="246"/>
      <c r="K298" s="244"/>
      <c r="L298" s="246"/>
      <c r="M298" s="246"/>
      <c r="N298" s="246"/>
      <c r="O298" s="246"/>
    </row>
    <row r="299" spans="1:15" s="278" customFormat="1" ht="15.75" customHeight="1" x14ac:dyDescent="0.2">
      <c r="A299" s="246"/>
      <c r="B299" s="246"/>
      <c r="C299" s="246"/>
      <c r="D299" s="244"/>
      <c r="E299" s="48"/>
      <c r="F299" s="47"/>
      <c r="G299" s="49"/>
      <c r="H299" s="244"/>
      <c r="I299" s="246"/>
      <c r="J299" s="246"/>
      <c r="K299" s="244"/>
      <c r="L299" s="246"/>
      <c r="M299" s="246"/>
      <c r="N299" s="246"/>
      <c r="O299" s="246"/>
    </row>
    <row r="300" spans="1:15" s="278" customFormat="1" ht="15.75" customHeight="1" x14ac:dyDescent="0.2">
      <c r="A300" s="246"/>
      <c r="B300" s="246"/>
      <c r="C300" s="246"/>
      <c r="D300" s="244"/>
      <c r="E300" s="35"/>
      <c r="F300" s="32"/>
      <c r="G300" s="36"/>
      <c r="H300" s="244"/>
      <c r="I300" s="246"/>
      <c r="J300" s="246"/>
      <c r="K300" s="244"/>
      <c r="L300" s="246"/>
      <c r="M300" s="246"/>
      <c r="N300" s="246"/>
      <c r="O300" s="246"/>
    </row>
    <row r="301" spans="1:15" s="278" customFormat="1" ht="15.75" customHeight="1" x14ac:dyDescent="0.2">
      <c r="A301" s="246"/>
      <c r="B301" s="246"/>
      <c r="C301" s="246"/>
      <c r="D301" s="244"/>
      <c r="E301" s="48"/>
      <c r="F301" s="47"/>
      <c r="G301" s="49"/>
      <c r="H301" s="244"/>
      <c r="I301" s="246"/>
      <c r="J301" s="246"/>
      <c r="K301" s="244"/>
      <c r="L301" s="246"/>
      <c r="M301" s="246"/>
      <c r="N301" s="246"/>
      <c r="O301" s="246"/>
    </row>
    <row r="302" spans="1:15" s="278" customFormat="1" ht="15.75" customHeight="1" x14ac:dyDescent="0.2">
      <c r="A302" s="246"/>
      <c r="B302" s="246"/>
      <c r="C302" s="246"/>
      <c r="D302" s="244"/>
      <c r="E302" s="35"/>
      <c r="F302" s="32"/>
      <c r="G302" s="36"/>
      <c r="H302" s="244"/>
      <c r="I302" s="246"/>
      <c r="J302" s="246"/>
      <c r="K302" s="244"/>
      <c r="L302" s="246"/>
      <c r="M302" s="246"/>
      <c r="N302" s="246"/>
      <c r="O302" s="246"/>
    </row>
    <row r="303" spans="1:15" s="278" customFormat="1" ht="15.75" customHeight="1" x14ac:dyDescent="0.2">
      <c r="A303" s="246"/>
      <c r="B303" s="246"/>
      <c r="C303" s="246"/>
      <c r="D303" s="244"/>
      <c r="E303" s="48"/>
      <c r="F303" s="47"/>
      <c r="G303" s="49"/>
      <c r="H303" s="244"/>
      <c r="I303" s="246"/>
      <c r="J303" s="246"/>
      <c r="K303" s="244"/>
      <c r="L303" s="246"/>
      <c r="M303" s="246"/>
      <c r="N303" s="246"/>
      <c r="O303" s="246"/>
    </row>
    <row r="304" spans="1:15" s="278" customFormat="1" ht="15.75" customHeight="1" x14ac:dyDescent="0.2">
      <c r="A304" s="246"/>
      <c r="B304" s="246"/>
      <c r="C304" s="246"/>
      <c r="D304" s="244"/>
      <c r="E304" s="35"/>
      <c r="F304" s="32"/>
      <c r="G304" s="36"/>
      <c r="H304" s="244"/>
      <c r="I304" s="246"/>
      <c r="J304" s="246"/>
      <c r="K304" s="244"/>
      <c r="L304" s="246"/>
      <c r="M304" s="246"/>
      <c r="N304" s="246"/>
      <c r="O304" s="246"/>
    </row>
    <row r="305" spans="1:15" s="278" customFormat="1" ht="15.75" customHeight="1" x14ac:dyDescent="0.2">
      <c r="A305" s="246"/>
      <c r="B305" s="246"/>
      <c r="C305" s="246"/>
      <c r="D305" s="244"/>
      <c r="E305" s="48"/>
      <c r="F305" s="47"/>
      <c r="G305" s="49"/>
      <c r="H305" s="244"/>
      <c r="I305" s="246"/>
      <c r="J305" s="246"/>
      <c r="K305" s="244"/>
      <c r="L305" s="246"/>
      <c r="M305" s="246"/>
      <c r="N305" s="246"/>
      <c r="O305" s="246"/>
    </row>
    <row r="306" spans="1:15" s="278" customFormat="1" ht="15.75" customHeight="1" x14ac:dyDescent="0.2">
      <c r="A306" s="246"/>
      <c r="B306" s="246"/>
      <c r="C306" s="246"/>
      <c r="D306" s="244"/>
      <c r="E306" s="35"/>
      <c r="F306" s="32"/>
      <c r="G306" s="36"/>
      <c r="H306" s="244"/>
      <c r="I306" s="246"/>
      <c r="J306" s="246"/>
      <c r="K306" s="244"/>
      <c r="L306" s="246"/>
      <c r="M306" s="246"/>
      <c r="N306" s="246"/>
      <c r="O306" s="246"/>
    </row>
    <row r="307" spans="1:15" s="278" customFormat="1" ht="15.75" customHeight="1" x14ac:dyDescent="0.2">
      <c r="A307" s="246"/>
      <c r="B307" s="246"/>
      <c r="C307" s="246"/>
      <c r="D307" s="244"/>
      <c r="E307" s="48"/>
      <c r="F307" s="47"/>
      <c r="G307" s="49"/>
      <c r="H307" s="244"/>
      <c r="I307" s="246"/>
      <c r="J307" s="246"/>
      <c r="K307" s="244"/>
      <c r="L307" s="246"/>
      <c r="M307" s="246"/>
      <c r="N307" s="246"/>
      <c r="O307" s="246"/>
    </row>
    <row r="308" spans="1:15" s="278" customFormat="1" ht="15.75" customHeight="1" x14ac:dyDescent="0.2">
      <c r="A308" s="246"/>
      <c r="B308" s="246"/>
      <c r="C308" s="246"/>
      <c r="D308" s="244"/>
      <c r="E308" s="35"/>
      <c r="F308" s="32"/>
      <c r="G308" s="36"/>
      <c r="H308" s="244"/>
      <c r="I308" s="246"/>
      <c r="J308" s="246"/>
      <c r="K308" s="244"/>
      <c r="L308" s="246"/>
      <c r="M308" s="246"/>
      <c r="N308" s="246"/>
      <c r="O308" s="246"/>
    </row>
    <row r="309" spans="1:15" s="278" customFormat="1" ht="15.75" customHeight="1" x14ac:dyDescent="0.2">
      <c r="A309" s="246"/>
      <c r="B309" s="246"/>
      <c r="C309" s="246"/>
      <c r="D309" s="244"/>
      <c r="E309" s="48"/>
      <c r="F309" s="47"/>
      <c r="G309" s="49"/>
      <c r="H309" s="244"/>
      <c r="I309" s="246"/>
      <c r="J309" s="246"/>
      <c r="K309" s="244"/>
      <c r="L309" s="246"/>
      <c r="M309" s="246"/>
      <c r="N309" s="246"/>
      <c r="O309" s="246"/>
    </row>
    <row r="310" spans="1:15" s="278" customFormat="1" ht="15.75" customHeight="1" x14ac:dyDescent="0.2">
      <c r="A310" s="246"/>
      <c r="B310" s="246"/>
      <c r="C310" s="246"/>
      <c r="D310" s="244"/>
      <c r="E310" s="35"/>
      <c r="F310" s="32"/>
      <c r="G310" s="36"/>
      <c r="H310" s="244"/>
      <c r="I310" s="246"/>
      <c r="J310" s="246"/>
      <c r="K310" s="244"/>
      <c r="L310" s="246"/>
      <c r="M310" s="246"/>
      <c r="N310" s="246"/>
      <c r="O310" s="246"/>
    </row>
    <row r="311" spans="1:15" s="278" customFormat="1" ht="15.75" customHeight="1" x14ac:dyDescent="0.2">
      <c r="A311" s="246"/>
      <c r="B311" s="246"/>
      <c r="C311" s="246"/>
      <c r="D311" s="244"/>
      <c r="E311" s="48"/>
      <c r="F311" s="47"/>
      <c r="G311" s="49"/>
      <c r="H311" s="244"/>
      <c r="I311" s="246"/>
      <c r="J311" s="246"/>
      <c r="K311" s="244"/>
      <c r="L311" s="246"/>
      <c r="M311" s="246"/>
      <c r="N311" s="246"/>
      <c r="O311" s="246"/>
    </row>
    <row r="312" spans="1:15" s="278" customFormat="1" ht="15.75" customHeight="1" x14ac:dyDescent="0.2">
      <c r="A312" s="246"/>
      <c r="B312" s="246"/>
      <c r="C312" s="246"/>
      <c r="D312" s="244"/>
      <c r="E312" s="35"/>
      <c r="F312" s="32"/>
      <c r="G312" s="36"/>
      <c r="H312" s="244"/>
      <c r="I312" s="246"/>
      <c r="J312" s="246"/>
      <c r="K312" s="244"/>
      <c r="L312" s="246"/>
      <c r="M312" s="246"/>
      <c r="N312" s="246"/>
      <c r="O312" s="246"/>
    </row>
    <row r="313" spans="1:15" s="278" customFormat="1" ht="15.75" customHeight="1" x14ac:dyDescent="0.2">
      <c r="A313" s="246"/>
      <c r="B313" s="246"/>
      <c r="C313" s="246"/>
      <c r="D313" s="244"/>
      <c r="E313" s="48"/>
      <c r="F313" s="47"/>
      <c r="G313" s="49"/>
      <c r="H313" s="244"/>
      <c r="I313" s="246"/>
      <c r="J313" s="246"/>
      <c r="K313" s="244"/>
      <c r="L313" s="246"/>
      <c r="M313" s="246"/>
      <c r="N313" s="246"/>
      <c r="O313" s="246"/>
    </row>
    <row r="314" spans="1:15" s="278" customFormat="1" ht="15.75" customHeight="1" x14ac:dyDescent="0.2">
      <c r="A314" s="246"/>
      <c r="B314" s="246"/>
      <c r="C314" s="246"/>
      <c r="D314" s="244"/>
      <c r="E314" s="35"/>
      <c r="F314" s="32"/>
      <c r="G314" s="36"/>
      <c r="H314" s="244"/>
      <c r="I314" s="246"/>
      <c r="J314" s="246"/>
      <c r="K314" s="244"/>
      <c r="L314" s="246"/>
      <c r="M314" s="246"/>
      <c r="N314" s="246"/>
      <c r="O314" s="246"/>
    </row>
    <row r="315" spans="1:15" s="278" customFormat="1" ht="15.75" customHeight="1" x14ac:dyDescent="0.2">
      <c r="A315" s="246"/>
      <c r="B315" s="246"/>
      <c r="C315" s="246"/>
      <c r="D315" s="244"/>
      <c r="E315" s="48"/>
      <c r="F315" s="47"/>
      <c r="G315" s="49"/>
      <c r="H315" s="244"/>
      <c r="I315" s="246"/>
      <c r="J315" s="246"/>
      <c r="K315" s="244"/>
      <c r="L315" s="246"/>
      <c r="M315" s="246"/>
      <c r="N315" s="246"/>
      <c r="O315" s="246"/>
    </row>
    <row r="316" spans="1:15" s="278" customFormat="1" ht="15.75" customHeight="1" x14ac:dyDescent="0.2">
      <c r="A316" s="246"/>
      <c r="B316" s="246"/>
      <c r="C316" s="246"/>
      <c r="D316" s="244"/>
      <c r="E316" s="35"/>
      <c r="F316" s="32"/>
      <c r="G316" s="36"/>
      <c r="H316" s="244"/>
      <c r="I316" s="246"/>
      <c r="J316" s="246"/>
      <c r="K316" s="244"/>
      <c r="L316" s="246"/>
      <c r="M316" s="246"/>
      <c r="N316" s="246"/>
      <c r="O316" s="246"/>
    </row>
    <row r="317" spans="1:15" s="278" customFormat="1" ht="15.75" customHeight="1" x14ac:dyDescent="0.2">
      <c r="A317" s="246"/>
      <c r="B317" s="246"/>
      <c r="C317" s="246"/>
      <c r="D317" s="244"/>
      <c r="E317" s="48"/>
      <c r="F317" s="47"/>
      <c r="G317" s="49"/>
      <c r="H317" s="244"/>
      <c r="I317" s="246"/>
      <c r="J317" s="246"/>
      <c r="K317" s="244"/>
      <c r="L317" s="246"/>
      <c r="M317" s="246"/>
      <c r="N317" s="246"/>
      <c r="O317" s="246"/>
    </row>
    <row r="318" spans="1:15" s="278" customFormat="1" ht="15.75" customHeight="1" x14ac:dyDescent="0.2">
      <c r="A318" s="246"/>
      <c r="B318" s="246"/>
      <c r="C318" s="246"/>
      <c r="D318" s="244"/>
      <c r="E318" s="35"/>
      <c r="F318" s="32"/>
      <c r="G318" s="36"/>
      <c r="H318" s="244"/>
      <c r="I318" s="246"/>
      <c r="J318" s="246"/>
      <c r="K318" s="244"/>
      <c r="L318" s="246"/>
      <c r="M318" s="246"/>
      <c r="N318" s="246"/>
      <c r="O318" s="246"/>
    </row>
    <row r="319" spans="1:15" s="278" customFormat="1" ht="15.75" customHeight="1" x14ac:dyDescent="0.2">
      <c r="A319" s="246"/>
      <c r="B319" s="246"/>
      <c r="C319" s="246"/>
      <c r="D319" s="244"/>
      <c r="E319" s="48"/>
      <c r="F319" s="47"/>
      <c r="G319" s="49"/>
      <c r="H319" s="244"/>
      <c r="I319" s="246"/>
      <c r="J319" s="246"/>
      <c r="K319" s="244"/>
      <c r="L319" s="246"/>
      <c r="M319" s="246"/>
      <c r="N319" s="246"/>
      <c r="O319" s="246"/>
    </row>
    <row r="320" spans="1:15" s="278" customFormat="1" ht="15.75" customHeight="1" x14ac:dyDescent="0.2">
      <c r="A320" s="246"/>
      <c r="B320" s="246"/>
      <c r="C320" s="246"/>
      <c r="D320" s="244"/>
      <c r="E320" s="35"/>
      <c r="F320" s="32"/>
      <c r="G320" s="36"/>
      <c r="H320" s="244"/>
      <c r="I320" s="246"/>
      <c r="J320" s="246"/>
      <c r="K320" s="244"/>
      <c r="L320" s="246"/>
      <c r="M320" s="246"/>
      <c r="N320" s="246"/>
      <c r="O320" s="246"/>
    </row>
    <row r="321" spans="1:15" s="278" customFormat="1" ht="15.75" customHeight="1" x14ac:dyDescent="0.2">
      <c r="A321" s="246"/>
      <c r="B321" s="246"/>
      <c r="C321" s="246"/>
      <c r="D321" s="244"/>
      <c r="E321" s="48"/>
      <c r="F321" s="47"/>
      <c r="G321" s="49"/>
      <c r="H321" s="244"/>
      <c r="I321" s="246"/>
      <c r="J321" s="246"/>
      <c r="K321" s="244"/>
      <c r="L321" s="246"/>
      <c r="M321" s="246"/>
      <c r="N321" s="246"/>
      <c r="O321" s="246"/>
    </row>
    <row r="322" spans="1:15" s="278" customFormat="1" ht="15.75" customHeight="1" x14ac:dyDescent="0.2">
      <c r="A322" s="246"/>
      <c r="B322" s="246"/>
      <c r="C322" s="246"/>
      <c r="D322" s="244"/>
      <c r="E322" s="35"/>
      <c r="F322" s="32"/>
      <c r="G322" s="36"/>
      <c r="H322" s="244"/>
      <c r="I322" s="246"/>
      <c r="J322" s="246"/>
      <c r="K322" s="244"/>
      <c r="L322" s="246"/>
      <c r="M322" s="246"/>
      <c r="N322" s="246"/>
      <c r="O322" s="246"/>
    </row>
    <row r="323" spans="1:15" s="278" customFormat="1" ht="15.75" customHeight="1" x14ac:dyDescent="0.2">
      <c r="A323" s="246"/>
      <c r="B323" s="246"/>
      <c r="C323" s="246"/>
      <c r="D323" s="244"/>
      <c r="E323" s="48"/>
      <c r="F323" s="47"/>
      <c r="G323" s="49"/>
      <c r="H323" s="244"/>
      <c r="I323" s="246"/>
      <c r="J323" s="246"/>
      <c r="K323" s="244"/>
      <c r="L323" s="246"/>
      <c r="M323" s="246"/>
      <c r="N323" s="246"/>
      <c r="O323" s="246"/>
    </row>
    <row r="324" spans="1:15" s="278" customFormat="1" ht="15.75" customHeight="1" x14ac:dyDescent="0.2">
      <c r="A324" s="246"/>
      <c r="B324" s="246"/>
      <c r="C324" s="246"/>
      <c r="D324" s="244"/>
      <c r="E324" s="35"/>
      <c r="F324" s="32"/>
      <c r="G324" s="36"/>
      <c r="H324" s="244"/>
      <c r="I324" s="246"/>
      <c r="J324" s="246"/>
      <c r="K324" s="244"/>
      <c r="L324" s="246"/>
      <c r="M324" s="246"/>
      <c r="N324" s="246"/>
      <c r="O324" s="246"/>
    </row>
    <row r="325" spans="1:15" s="278" customFormat="1" ht="15.75" customHeight="1" x14ac:dyDescent="0.2">
      <c r="A325" s="246"/>
      <c r="B325" s="246"/>
      <c r="C325" s="246"/>
      <c r="D325" s="244"/>
      <c r="E325" s="48"/>
      <c r="F325" s="47"/>
      <c r="G325" s="49"/>
      <c r="H325" s="244"/>
      <c r="I325" s="246"/>
      <c r="J325" s="246"/>
      <c r="K325" s="244"/>
      <c r="L325" s="246"/>
      <c r="M325" s="246"/>
      <c r="N325" s="246"/>
      <c r="O325" s="246"/>
    </row>
    <row r="326" spans="1:15" s="278" customFormat="1" ht="15.75" customHeight="1" x14ac:dyDescent="0.2">
      <c r="A326" s="246"/>
      <c r="B326" s="246"/>
      <c r="C326" s="246"/>
      <c r="D326" s="244"/>
      <c r="E326" s="35"/>
      <c r="F326" s="32"/>
      <c r="G326" s="36"/>
      <c r="H326" s="244"/>
      <c r="I326" s="246"/>
      <c r="J326" s="246"/>
      <c r="K326" s="244"/>
      <c r="L326" s="246"/>
      <c r="M326" s="246"/>
      <c r="N326" s="246"/>
      <c r="O326" s="246"/>
    </row>
    <row r="327" spans="1:15" s="278" customFormat="1" ht="15.75" customHeight="1" x14ac:dyDescent="0.2">
      <c r="A327" s="246"/>
      <c r="B327" s="246"/>
      <c r="C327" s="246"/>
      <c r="D327" s="244"/>
      <c r="E327" s="48"/>
      <c r="F327" s="47"/>
      <c r="G327" s="49"/>
      <c r="H327" s="244"/>
      <c r="I327" s="246"/>
      <c r="J327" s="246"/>
      <c r="K327" s="244"/>
      <c r="L327" s="246"/>
      <c r="M327" s="246"/>
      <c r="N327" s="246"/>
      <c r="O327" s="246"/>
    </row>
    <row r="328" spans="1:15" s="278" customFormat="1" ht="15.75" customHeight="1" x14ac:dyDescent="0.2">
      <c r="A328" s="246"/>
      <c r="B328" s="246"/>
      <c r="C328" s="246"/>
      <c r="D328" s="244"/>
      <c r="E328" s="35"/>
      <c r="F328" s="32"/>
      <c r="G328" s="36"/>
      <c r="H328" s="244"/>
      <c r="I328" s="246"/>
      <c r="J328" s="246"/>
      <c r="K328" s="244"/>
      <c r="L328" s="246"/>
      <c r="M328" s="246"/>
      <c r="N328" s="246"/>
      <c r="O328" s="246"/>
    </row>
    <row r="329" spans="1:15" s="278" customFormat="1" ht="15.75" customHeight="1" x14ac:dyDescent="0.2">
      <c r="A329" s="246"/>
      <c r="B329" s="246"/>
      <c r="C329" s="246"/>
      <c r="D329" s="244"/>
      <c r="E329" s="48"/>
      <c r="F329" s="47"/>
      <c r="G329" s="49"/>
      <c r="H329" s="244"/>
      <c r="I329" s="246"/>
      <c r="J329" s="246"/>
      <c r="K329" s="244"/>
      <c r="L329" s="246"/>
      <c r="M329" s="246"/>
      <c r="N329" s="246"/>
      <c r="O329" s="246"/>
    </row>
    <row r="330" spans="1:15" s="278" customFormat="1" ht="15.75" customHeight="1" x14ac:dyDescent="0.2">
      <c r="A330" s="246"/>
      <c r="B330" s="246"/>
      <c r="C330" s="246"/>
      <c r="D330" s="244"/>
      <c r="E330" s="35"/>
      <c r="F330" s="32"/>
      <c r="G330" s="36"/>
      <c r="H330" s="244"/>
      <c r="I330" s="246"/>
      <c r="J330" s="246"/>
      <c r="K330" s="244"/>
      <c r="L330" s="246"/>
      <c r="M330" s="246"/>
      <c r="N330" s="246"/>
      <c r="O330" s="246"/>
    </row>
    <row r="331" spans="1:15" s="278" customFormat="1" ht="15.75" customHeight="1" x14ac:dyDescent="0.2">
      <c r="A331" s="246"/>
      <c r="B331" s="246"/>
      <c r="C331" s="246"/>
      <c r="D331" s="244"/>
      <c r="E331" s="48"/>
      <c r="F331" s="47"/>
      <c r="G331" s="49"/>
      <c r="H331" s="244"/>
      <c r="I331" s="246"/>
      <c r="J331" s="246"/>
      <c r="K331" s="244"/>
      <c r="L331" s="246"/>
      <c r="M331" s="246"/>
      <c r="N331" s="246"/>
      <c r="O331" s="246"/>
    </row>
    <row r="332" spans="1:15" s="278" customFormat="1" ht="15.75" customHeight="1" x14ac:dyDescent="0.2">
      <c r="A332" s="246"/>
      <c r="B332" s="246"/>
      <c r="C332" s="246"/>
      <c r="D332" s="244"/>
      <c r="E332" s="35"/>
      <c r="F332" s="32"/>
      <c r="G332" s="36"/>
      <c r="H332" s="244"/>
      <c r="I332" s="246"/>
      <c r="J332" s="246"/>
      <c r="K332" s="244"/>
      <c r="L332" s="246"/>
      <c r="M332" s="246"/>
      <c r="N332" s="246"/>
      <c r="O332" s="246"/>
    </row>
    <row r="333" spans="1:15" s="278" customFormat="1" ht="15.75" customHeight="1" x14ac:dyDescent="0.2">
      <c r="A333" s="246"/>
      <c r="B333" s="246"/>
      <c r="C333" s="246"/>
      <c r="D333" s="244"/>
      <c r="E333" s="48"/>
      <c r="F333" s="47"/>
      <c r="G333" s="49"/>
      <c r="H333" s="244"/>
      <c r="I333" s="246"/>
      <c r="J333" s="246"/>
      <c r="K333" s="244"/>
      <c r="L333" s="246"/>
      <c r="M333" s="246"/>
      <c r="N333" s="246"/>
      <c r="O333" s="246"/>
    </row>
    <row r="334" spans="1:15" s="278" customFormat="1" ht="15.75" customHeight="1" x14ac:dyDescent="0.2">
      <c r="A334" s="246"/>
      <c r="B334" s="246"/>
      <c r="C334" s="246"/>
      <c r="D334" s="244"/>
      <c r="E334" s="35"/>
      <c r="F334" s="32"/>
      <c r="G334" s="36"/>
      <c r="H334" s="244"/>
      <c r="I334" s="246"/>
      <c r="J334" s="246"/>
      <c r="K334" s="244"/>
      <c r="L334" s="246"/>
      <c r="M334" s="246"/>
      <c r="N334" s="246"/>
      <c r="O334" s="246"/>
    </row>
    <row r="335" spans="1:15" s="278" customFormat="1" ht="15.75" customHeight="1" x14ac:dyDescent="0.2">
      <c r="A335" s="246"/>
      <c r="B335" s="246"/>
      <c r="C335" s="246"/>
      <c r="D335" s="244"/>
      <c r="E335" s="48"/>
      <c r="F335" s="47"/>
      <c r="G335" s="49"/>
      <c r="H335" s="244"/>
      <c r="I335" s="246"/>
      <c r="J335" s="246"/>
      <c r="K335" s="244"/>
      <c r="L335" s="246"/>
      <c r="M335" s="246"/>
      <c r="N335" s="246"/>
      <c r="O335" s="246"/>
    </row>
    <row r="336" spans="1:15" s="278" customFormat="1" ht="15.75" customHeight="1" x14ac:dyDescent="0.2">
      <c r="A336" s="246"/>
      <c r="B336" s="246"/>
      <c r="C336" s="246"/>
      <c r="D336" s="244"/>
      <c r="E336" s="35"/>
      <c r="F336" s="32"/>
      <c r="G336" s="36"/>
      <c r="H336" s="244"/>
      <c r="I336" s="246"/>
      <c r="J336" s="246"/>
      <c r="K336" s="244"/>
      <c r="L336" s="246"/>
      <c r="M336" s="246"/>
      <c r="N336" s="246"/>
      <c r="O336" s="246"/>
    </row>
    <row r="337" spans="1:15" s="278" customFormat="1" ht="15.75" customHeight="1" x14ac:dyDescent="0.2">
      <c r="A337" s="246"/>
      <c r="B337" s="246"/>
      <c r="C337" s="246"/>
      <c r="D337" s="244"/>
      <c r="E337" s="48"/>
      <c r="F337" s="47"/>
      <c r="G337" s="49"/>
      <c r="H337" s="244"/>
      <c r="I337" s="246"/>
      <c r="J337" s="246"/>
      <c r="K337" s="244"/>
      <c r="L337" s="246"/>
      <c r="M337" s="246"/>
      <c r="N337" s="246"/>
      <c r="O337" s="246"/>
    </row>
    <row r="338" spans="1:15" s="278" customFormat="1" ht="15.75" customHeight="1" x14ac:dyDescent="0.2">
      <c r="A338" s="246"/>
      <c r="B338" s="246"/>
      <c r="C338" s="246"/>
      <c r="D338" s="244"/>
      <c r="E338" s="35"/>
      <c r="F338" s="32"/>
      <c r="G338" s="36"/>
      <c r="H338" s="244"/>
      <c r="I338" s="246"/>
      <c r="J338" s="246"/>
      <c r="K338" s="244"/>
      <c r="L338" s="246"/>
      <c r="M338" s="246"/>
      <c r="N338" s="246"/>
      <c r="O338" s="246"/>
    </row>
    <row r="339" spans="1:15" s="278" customFormat="1" ht="15.75" customHeight="1" x14ac:dyDescent="0.2">
      <c r="A339" s="246"/>
      <c r="B339" s="246"/>
      <c r="C339" s="246"/>
      <c r="D339" s="244"/>
      <c r="E339" s="48"/>
      <c r="F339" s="47"/>
      <c r="G339" s="49"/>
      <c r="H339" s="244"/>
      <c r="I339" s="246"/>
      <c r="J339" s="246"/>
      <c r="K339" s="244"/>
      <c r="L339" s="246"/>
      <c r="M339" s="246"/>
      <c r="N339" s="246"/>
      <c r="O339" s="246"/>
    </row>
    <row r="340" spans="1:15" s="278" customFormat="1" ht="15.75" customHeight="1" x14ac:dyDescent="0.2">
      <c r="A340" s="246"/>
      <c r="B340" s="246"/>
      <c r="C340" s="246"/>
      <c r="D340" s="244"/>
      <c r="E340" s="35"/>
      <c r="F340" s="32"/>
      <c r="G340" s="36"/>
      <c r="H340" s="244"/>
      <c r="I340" s="246"/>
      <c r="J340" s="246"/>
      <c r="K340" s="244"/>
      <c r="L340" s="246"/>
      <c r="M340" s="246"/>
      <c r="N340" s="246"/>
      <c r="O340" s="246"/>
    </row>
    <row r="341" spans="1:15" s="278" customFormat="1" ht="15.75" customHeight="1" x14ac:dyDescent="0.2">
      <c r="A341" s="246"/>
      <c r="B341" s="246"/>
      <c r="C341" s="246"/>
      <c r="D341" s="244"/>
      <c r="E341" s="48"/>
      <c r="F341" s="47"/>
      <c r="G341" s="49"/>
      <c r="H341" s="244"/>
      <c r="I341" s="246"/>
      <c r="J341" s="246"/>
      <c r="K341" s="244"/>
      <c r="L341" s="246"/>
      <c r="M341" s="246"/>
      <c r="N341" s="246"/>
      <c r="O341" s="246"/>
    </row>
    <row r="342" spans="1:15" s="278" customFormat="1" ht="15.75" customHeight="1" x14ac:dyDescent="0.2">
      <c r="A342" s="246"/>
      <c r="B342" s="246"/>
      <c r="C342" s="246"/>
      <c r="D342" s="244"/>
      <c r="E342" s="35"/>
      <c r="F342" s="32"/>
      <c r="G342" s="36"/>
      <c r="H342" s="244"/>
      <c r="I342" s="246"/>
      <c r="J342" s="246"/>
      <c r="K342" s="244"/>
      <c r="L342" s="246"/>
      <c r="M342" s="246"/>
      <c r="N342" s="246"/>
      <c r="O342" s="246"/>
    </row>
    <row r="343" spans="1:15" s="278" customFormat="1" ht="15.75" customHeight="1" x14ac:dyDescent="0.2">
      <c r="A343" s="246"/>
      <c r="B343" s="246"/>
      <c r="C343" s="246"/>
      <c r="D343" s="244"/>
      <c r="E343" s="48"/>
      <c r="F343" s="47"/>
      <c r="G343" s="49"/>
      <c r="H343" s="244"/>
      <c r="I343" s="246"/>
      <c r="J343" s="246"/>
      <c r="K343" s="244"/>
      <c r="L343" s="246"/>
      <c r="M343" s="246"/>
      <c r="N343" s="246"/>
      <c r="O343" s="246"/>
    </row>
    <row r="344" spans="1:15" s="278" customFormat="1" ht="15.75" customHeight="1" x14ac:dyDescent="0.2">
      <c r="A344" s="246"/>
      <c r="B344" s="246"/>
      <c r="C344" s="246"/>
      <c r="D344" s="244"/>
      <c r="E344" s="35"/>
      <c r="F344" s="32"/>
      <c r="G344" s="36"/>
      <c r="H344" s="244"/>
      <c r="I344" s="246"/>
      <c r="J344" s="246"/>
      <c r="K344" s="244"/>
      <c r="L344" s="246"/>
      <c r="M344" s="246"/>
      <c r="N344" s="246"/>
      <c r="O344" s="246"/>
    </row>
    <row r="345" spans="1:15" s="278" customFormat="1" ht="15.75" customHeight="1" x14ac:dyDescent="0.2">
      <c r="A345" s="246"/>
      <c r="B345" s="246"/>
      <c r="C345" s="246"/>
      <c r="D345" s="244"/>
      <c r="E345" s="48"/>
      <c r="F345" s="47"/>
      <c r="G345" s="49"/>
      <c r="H345" s="244"/>
      <c r="I345" s="246"/>
      <c r="J345" s="246"/>
      <c r="K345" s="244"/>
      <c r="L345" s="246"/>
      <c r="M345" s="246"/>
      <c r="N345" s="246"/>
      <c r="O345" s="246"/>
    </row>
    <row r="346" spans="1:15" s="278" customFormat="1" ht="15.75" customHeight="1" x14ac:dyDescent="0.2">
      <c r="A346" s="246"/>
      <c r="B346" s="246"/>
      <c r="C346" s="246"/>
      <c r="D346" s="244"/>
      <c r="E346" s="35"/>
      <c r="F346" s="32"/>
      <c r="G346" s="36"/>
      <c r="H346" s="244"/>
      <c r="I346" s="246"/>
      <c r="J346" s="246"/>
      <c r="K346" s="244"/>
      <c r="L346" s="246"/>
      <c r="M346" s="246"/>
      <c r="N346" s="246"/>
      <c r="O346" s="246"/>
    </row>
    <row r="347" spans="1:15" s="278" customFormat="1" ht="15.75" customHeight="1" x14ac:dyDescent="0.2">
      <c r="A347" s="246"/>
      <c r="B347" s="246"/>
      <c r="C347" s="246"/>
      <c r="D347" s="244"/>
      <c r="E347" s="48"/>
      <c r="F347" s="47"/>
      <c r="G347" s="49"/>
      <c r="H347" s="244"/>
      <c r="I347" s="246"/>
      <c r="J347" s="246"/>
      <c r="K347" s="244"/>
      <c r="L347" s="246"/>
      <c r="M347" s="246"/>
      <c r="N347" s="246"/>
      <c r="O347" s="246"/>
    </row>
    <row r="348" spans="1:15" s="278" customFormat="1" ht="15.75" customHeight="1" x14ac:dyDescent="0.2">
      <c r="A348" s="246"/>
      <c r="B348" s="246"/>
      <c r="C348" s="246"/>
      <c r="D348" s="244"/>
      <c r="E348" s="35"/>
      <c r="F348" s="32"/>
      <c r="G348" s="36"/>
      <c r="H348" s="244"/>
      <c r="I348" s="246"/>
      <c r="J348" s="246"/>
      <c r="K348" s="244"/>
      <c r="L348" s="246"/>
      <c r="M348" s="246"/>
      <c r="N348" s="246"/>
      <c r="O348" s="246"/>
    </row>
    <row r="349" spans="1:15" s="278" customFormat="1" ht="15.75" customHeight="1" x14ac:dyDescent="0.2">
      <c r="A349" s="246"/>
      <c r="B349" s="246"/>
      <c r="C349" s="246"/>
      <c r="D349" s="244"/>
      <c r="E349" s="48"/>
      <c r="F349" s="47"/>
      <c r="G349" s="49"/>
      <c r="H349" s="244"/>
      <c r="I349" s="246"/>
      <c r="J349" s="246"/>
      <c r="K349" s="244"/>
      <c r="L349" s="246"/>
      <c r="M349" s="246"/>
      <c r="N349" s="246"/>
      <c r="O349" s="246"/>
    </row>
    <row r="350" spans="1:15" s="278" customFormat="1" ht="15.75" customHeight="1" x14ac:dyDescent="0.2">
      <c r="A350" s="246"/>
      <c r="B350" s="246"/>
      <c r="C350" s="246"/>
      <c r="D350" s="244"/>
      <c r="E350" s="35"/>
      <c r="F350" s="32"/>
      <c r="G350" s="36"/>
      <c r="H350" s="244"/>
      <c r="I350" s="246"/>
      <c r="J350" s="246"/>
      <c r="K350" s="244"/>
      <c r="L350" s="246"/>
      <c r="M350" s="246"/>
      <c r="N350" s="246"/>
      <c r="O350" s="246"/>
    </row>
    <row r="351" spans="1:15" s="278" customFormat="1" ht="15.75" customHeight="1" x14ac:dyDescent="0.2">
      <c r="A351" s="246"/>
      <c r="B351" s="246"/>
      <c r="C351" s="246"/>
      <c r="D351" s="244"/>
      <c r="E351" s="48"/>
      <c r="F351" s="47"/>
      <c r="G351" s="49"/>
      <c r="H351" s="244"/>
      <c r="I351" s="246"/>
      <c r="J351" s="246"/>
      <c r="K351" s="244"/>
      <c r="L351" s="246"/>
      <c r="M351" s="246"/>
      <c r="N351" s="246"/>
      <c r="O351" s="246"/>
    </row>
    <row r="352" spans="1:15" s="278" customFormat="1" ht="15.75" customHeight="1" x14ac:dyDescent="0.2">
      <c r="A352" s="246"/>
      <c r="B352" s="246"/>
      <c r="C352" s="246"/>
      <c r="D352" s="244"/>
      <c r="E352" s="35"/>
      <c r="F352" s="32"/>
      <c r="G352" s="36"/>
      <c r="H352" s="244"/>
      <c r="I352" s="246"/>
      <c r="J352" s="246"/>
      <c r="K352" s="244"/>
      <c r="L352" s="246"/>
      <c r="M352" s="246"/>
      <c r="N352" s="246"/>
      <c r="O352" s="246"/>
    </row>
    <row r="353" spans="1:15" s="278" customFormat="1" ht="15.75" customHeight="1" x14ac:dyDescent="0.2">
      <c r="A353" s="246"/>
      <c r="B353" s="246"/>
      <c r="C353" s="246"/>
      <c r="D353" s="244"/>
      <c r="E353" s="48"/>
      <c r="F353" s="47"/>
      <c r="G353" s="49"/>
      <c r="H353" s="244"/>
      <c r="I353" s="246"/>
      <c r="J353" s="246"/>
      <c r="K353" s="244"/>
      <c r="L353" s="246"/>
      <c r="M353" s="246"/>
      <c r="N353" s="246"/>
      <c r="O353" s="246"/>
    </row>
    <row r="354" spans="1:15" s="278" customFormat="1" ht="15.75" customHeight="1" x14ac:dyDescent="0.2">
      <c r="A354" s="246"/>
      <c r="B354" s="246"/>
      <c r="C354" s="246"/>
      <c r="D354" s="244"/>
      <c r="E354" s="35"/>
      <c r="F354" s="32"/>
      <c r="G354" s="36"/>
      <c r="H354" s="244"/>
      <c r="I354" s="246"/>
      <c r="J354" s="246"/>
      <c r="K354" s="244"/>
      <c r="L354" s="246"/>
      <c r="M354" s="246"/>
      <c r="N354" s="246"/>
      <c r="O354" s="246"/>
    </row>
    <row r="355" spans="1:15" s="278" customFormat="1" ht="15.75" customHeight="1" x14ac:dyDescent="0.2">
      <c r="A355" s="246"/>
      <c r="B355" s="246"/>
      <c r="C355" s="246"/>
      <c r="D355" s="244"/>
      <c r="E355" s="48"/>
      <c r="F355" s="47"/>
      <c r="G355" s="49"/>
      <c r="H355" s="244"/>
      <c r="I355" s="246"/>
      <c r="J355" s="246"/>
      <c r="K355" s="244"/>
      <c r="L355" s="246"/>
      <c r="M355" s="246"/>
      <c r="N355" s="246"/>
      <c r="O355" s="246"/>
    </row>
    <row r="356" spans="1:15" s="278" customFormat="1" ht="15.75" customHeight="1" x14ac:dyDescent="0.2">
      <c r="A356" s="246"/>
      <c r="B356" s="246"/>
      <c r="C356" s="246"/>
      <c r="D356" s="244"/>
      <c r="E356" s="35"/>
      <c r="F356" s="32"/>
      <c r="G356" s="36"/>
      <c r="H356" s="244"/>
      <c r="I356" s="246"/>
      <c r="J356" s="246"/>
      <c r="K356" s="244"/>
      <c r="L356" s="246"/>
      <c r="M356" s="246"/>
      <c r="N356" s="246"/>
      <c r="O356" s="246"/>
    </row>
    <row r="357" spans="1:15" s="278" customFormat="1" ht="15.75" customHeight="1" x14ac:dyDescent="0.2">
      <c r="A357" s="246"/>
      <c r="B357" s="246"/>
      <c r="C357" s="246"/>
      <c r="D357" s="244"/>
      <c r="E357" s="48"/>
      <c r="F357" s="47"/>
      <c r="G357" s="49"/>
      <c r="H357" s="244"/>
      <c r="I357" s="246"/>
      <c r="J357" s="246"/>
      <c r="K357" s="244"/>
      <c r="L357" s="246"/>
      <c r="M357" s="246"/>
      <c r="N357" s="246"/>
      <c r="O357" s="246"/>
    </row>
    <row r="358" spans="1:15" s="278" customFormat="1" ht="15.75" customHeight="1" x14ac:dyDescent="0.2">
      <c r="A358" s="246"/>
      <c r="B358" s="246"/>
      <c r="C358" s="246"/>
      <c r="D358" s="244"/>
      <c r="E358" s="35"/>
      <c r="F358" s="32"/>
      <c r="G358" s="36"/>
      <c r="H358" s="244"/>
      <c r="I358" s="246"/>
      <c r="J358" s="246"/>
      <c r="K358" s="244"/>
      <c r="L358" s="246"/>
      <c r="M358" s="246"/>
      <c r="N358" s="246"/>
      <c r="O358" s="246"/>
    </row>
    <row r="359" spans="1:15" s="278" customFormat="1" ht="15.75" customHeight="1" x14ac:dyDescent="0.2">
      <c r="A359" s="246"/>
      <c r="B359" s="246"/>
      <c r="C359" s="246"/>
      <c r="D359" s="244"/>
      <c r="E359" s="48"/>
      <c r="F359" s="47"/>
      <c r="G359" s="49"/>
      <c r="H359" s="244"/>
      <c r="I359" s="246"/>
      <c r="J359" s="246"/>
      <c r="K359" s="244"/>
      <c r="L359" s="246"/>
      <c r="M359" s="246"/>
      <c r="N359" s="246"/>
      <c r="O359" s="246"/>
    </row>
    <row r="360" spans="1:15" s="278" customFormat="1" ht="15.75" customHeight="1" x14ac:dyDescent="0.2">
      <c r="A360" s="246"/>
      <c r="B360" s="246"/>
      <c r="C360" s="246"/>
      <c r="D360" s="244"/>
      <c r="E360" s="35"/>
      <c r="F360" s="32"/>
      <c r="G360" s="36"/>
      <c r="H360" s="244"/>
      <c r="I360" s="246"/>
      <c r="J360" s="246"/>
      <c r="K360" s="244"/>
      <c r="L360" s="246"/>
      <c r="M360" s="246"/>
      <c r="N360" s="246"/>
      <c r="O360" s="246"/>
    </row>
    <row r="361" spans="1:15" s="278" customFormat="1" ht="15.75" customHeight="1" x14ac:dyDescent="0.2">
      <c r="A361" s="246"/>
      <c r="B361" s="246"/>
      <c r="C361" s="246"/>
      <c r="D361" s="244"/>
      <c r="E361" s="48"/>
      <c r="F361" s="47"/>
      <c r="G361" s="49"/>
      <c r="H361" s="244"/>
      <c r="I361" s="246"/>
      <c r="J361" s="246"/>
      <c r="K361" s="244"/>
      <c r="L361" s="246"/>
      <c r="M361" s="246"/>
      <c r="N361" s="246"/>
      <c r="O361" s="246"/>
    </row>
    <row r="362" spans="1:15" s="278" customFormat="1" ht="15.75" customHeight="1" x14ac:dyDescent="0.2">
      <c r="A362" s="246"/>
      <c r="B362" s="246"/>
      <c r="C362" s="246"/>
      <c r="D362" s="244"/>
      <c r="E362" s="35"/>
      <c r="F362" s="32"/>
      <c r="G362" s="36"/>
      <c r="H362" s="244"/>
      <c r="I362" s="246"/>
      <c r="J362" s="246"/>
      <c r="K362" s="244"/>
      <c r="L362" s="246"/>
      <c r="M362" s="246"/>
      <c r="N362" s="246"/>
      <c r="O362" s="246"/>
    </row>
    <row r="363" spans="1:15" s="278" customFormat="1" ht="15.75" customHeight="1" x14ac:dyDescent="0.2">
      <c r="A363" s="246"/>
      <c r="B363" s="246"/>
      <c r="C363" s="246"/>
      <c r="D363" s="244"/>
      <c r="E363" s="48"/>
      <c r="F363" s="47"/>
      <c r="G363" s="49"/>
      <c r="H363" s="244"/>
      <c r="I363" s="246"/>
      <c r="J363" s="246"/>
      <c r="K363" s="244"/>
      <c r="L363" s="246"/>
      <c r="M363" s="246"/>
      <c r="N363" s="246"/>
      <c r="O363" s="246"/>
    </row>
    <row r="364" spans="1:15" s="278" customFormat="1" ht="15.75" customHeight="1" x14ac:dyDescent="0.2">
      <c r="A364" s="246"/>
      <c r="B364" s="246"/>
      <c r="C364" s="246"/>
      <c r="D364" s="244"/>
      <c r="E364" s="35"/>
      <c r="F364" s="32"/>
      <c r="G364" s="36"/>
      <c r="H364" s="244"/>
      <c r="I364" s="246"/>
      <c r="J364" s="246"/>
      <c r="K364" s="244"/>
      <c r="L364" s="246"/>
      <c r="M364" s="246"/>
      <c r="N364" s="246"/>
      <c r="O364" s="246"/>
    </row>
    <row r="365" spans="1:15" s="278" customFormat="1" ht="15.75" customHeight="1" x14ac:dyDescent="0.2">
      <c r="A365" s="246"/>
      <c r="B365" s="246"/>
      <c r="C365" s="246"/>
      <c r="D365" s="244"/>
      <c r="E365" s="48"/>
      <c r="F365" s="47"/>
      <c r="G365" s="49"/>
      <c r="H365" s="244"/>
      <c r="I365" s="246"/>
      <c r="J365" s="246"/>
      <c r="K365" s="244"/>
      <c r="L365" s="246"/>
      <c r="M365" s="246"/>
      <c r="N365" s="246"/>
      <c r="O365" s="246"/>
    </row>
    <row r="366" spans="1:15" s="278" customFormat="1" ht="15.75" customHeight="1" x14ac:dyDescent="0.2">
      <c r="A366" s="246"/>
      <c r="B366" s="246"/>
      <c r="C366" s="246"/>
      <c r="D366" s="244"/>
      <c r="E366" s="35"/>
      <c r="F366" s="32"/>
      <c r="G366" s="36"/>
      <c r="H366" s="244"/>
      <c r="I366" s="246"/>
      <c r="J366" s="246"/>
      <c r="K366" s="244"/>
      <c r="L366" s="246"/>
      <c r="M366" s="246"/>
      <c r="N366" s="246"/>
      <c r="O366" s="246"/>
    </row>
    <row r="367" spans="1:15" s="278" customFormat="1" ht="15.75" customHeight="1" x14ac:dyDescent="0.2">
      <c r="A367" s="246"/>
      <c r="B367" s="246"/>
      <c r="C367" s="246"/>
      <c r="D367" s="244"/>
      <c r="E367" s="48"/>
      <c r="F367" s="47"/>
      <c r="G367" s="49"/>
      <c r="H367" s="244"/>
      <c r="I367" s="246"/>
      <c r="J367" s="246"/>
      <c r="K367" s="244"/>
      <c r="L367" s="246"/>
      <c r="M367" s="246"/>
      <c r="N367" s="246"/>
      <c r="O367" s="246"/>
    </row>
    <row r="368" spans="1:15" s="278" customFormat="1" ht="15.75" customHeight="1" x14ac:dyDescent="0.2">
      <c r="A368" s="246"/>
      <c r="B368" s="246"/>
      <c r="C368" s="246"/>
      <c r="D368" s="244"/>
      <c r="E368" s="35"/>
      <c r="F368" s="32"/>
      <c r="G368" s="36"/>
      <c r="H368" s="244"/>
      <c r="K368" s="244"/>
      <c r="O368" s="246"/>
    </row>
    <row r="369" spans="1:15" s="278" customFormat="1" ht="15.75" customHeight="1" x14ac:dyDescent="0.2">
      <c r="A369" s="246"/>
      <c r="B369" s="246"/>
      <c r="C369" s="246"/>
      <c r="D369" s="244"/>
      <c r="E369" s="48"/>
      <c r="F369" s="47"/>
      <c r="G369" s="49"/>
      <c r="H369" s="244"/>
      <c r="K369" s="244"/>
      <c r="O369" s="246"/>
    </row>
    <row r="370" spans="1:15" s="278" customFormat="1" ht="15.75" customHeight="1" x14ac:dyDescent="0.2">
      <c r="A370" s="246"/>
      <c r="B370" s="246"/>
      <c r="C370" s="246"/>
      <c r="D370" s="244"/>
      <c r="E370" s="35"/>
      <c r="F370" s="32"/>
      <c r="G370" s="36"/>
      <c r="H370" s="244"/>
      <c r="K370" s="244"/>
      <c r="O370" s="246"/>
    </row>
    <row r="371" spans="1:15" s="278" customFormat="1" ht="15.75" customHeight="1" x14ac:dyDescent="0.2">
      <c r="A371" s="246"/>
      <c r="B371" s="246"/>
      <c r="C371" s="246"/>
      <c r="D371" s="244"/>
      <c r="E371" s="48"/>
      <c r="F371" s="47"/>
      <c r="G371" s="49"/>
      <c r="H371" s="244"/>
      <c r="K371" s="244"/>
      <c r="O371" s="246"/>
    </row>
    <row r="372" spans="1:15" s="278" customFormat="1" ht="15.75" customHeight="1" x14ac:dyDescent="0.2">
      <c r="A372" s="246"/>
      <c r="B372" s="246"/>
      <c r="C372" s="246"/>
      <c r="D372" s="244"/>
      <c r="E372" s="35"/>
      <c r="F372" s="32"/>
      <c r="G372" s="36"/>
      <c r="H372" s="244"/>
      <c r="K372" s="244"/>
      <c r="O372" s="246"/>
    </row>
    <row r="373" spans="1:15" s="278" customFormat="1" ht="15.75" customHeight="1" x14ac:dyDescent="0.2">
      <c r="A373" s="246"/>
      <c r="B373" s="246"/>
      <c r="C373" s="246"/>
      <c r="D373" s="244"/>
      <c r="E373" s="48"/>
      <c r="F373" s="47"/>
      <c r="G373" s="49"/>
      <c r="H373" s="244"/>
      <c r="K373" s="244"/>
      <c r="O373" s="246"/>
    </row>
    <row r="374" spans="1:15" s="278" customFormat="1" ht="15.75" customHeight="1" x14ac:dyDescent="0.2">
      <c r="A374" s="246"/>
      <c r="B374" s="246"/>
      <c r="C374" s="246"/>
      <c r="D374" s="244"/>
      <c r="E374" s="35"/>
      <c r="F374" s="32"/>
      <c r="G374" s="36"/>
      <c r="H374" s="244"/>
      <c r="K374" s="244"/>
      <c r="O374" s="246"/>
    </row>
    <row r="375" spans="1:15" s="278" customFormat="1" ht="15.75" customHeight="1" x14ac:dyDescent="0.2">
      <c r="A375" s="246"/>
      <c r="B375" s="246"/>
      <c r="C375" s="246"/>
      <c r="D375" s="244"/>
      <c r="E375" s="48"/>
      <c r="F375" s="47"/>
      <c r="G375" s="49"/>
      <c r="H375" s="244"/>
      <c r="K375" s="244"/>
      <c r="O375" s="246"/>
    </row>
    <row r="376" spans="1:15" s="278" customFormat="1" ht="15.75" customHeight="1" x14ac:dyDescent="0.2">
      <c r="A376" s="246"/>
      <c r="B376" s="246"/>
      <c r="C376" s="246"/>
      <c r="D376" s="244"/>
      <c r="E376" s="35"/>
      <c r="F376" s="32"/>
      <c r="G376" s="36"/>
      <c r="H376" s="244"/>
      <c r="K376" s="244"/>
      <c r="O376" s="246"/>
    </row>
    <row r="377" spans="1:15" s="278" customFormat="1" ht="15.75" customHeight="1" x14ac:dyDescent="0.2">
      <c r="A377" s="246"/>
      <c r="B377" s="246"/>
      <c r="C377" s="246"/>
      <c r="D377" s="244"/>
      <c r="E377" s="48"/>
      <c r="F377" s="47"/>
      <c r="G377" s="49"/>
      <c r="H377" s="244"/>
      <c r="K377" s="244"/>
      <c r="O377" s="246"/>
    </row>
    <row r="378" spans="1:15" s="278" customFormat="1" ht="15.75" customHeight="1" x14ac:dyDescent="0.2">
      <c r="A378" s="246"/>
      <c r="B378" s="246"/>
      <c r="C378" s="246"/>
      <c r="D378" s="244"/>
      <c r="E378" s="35"/>
      <c r="F378" s="32"/>
      <c r="G378" s="36"/>
      <c r="H378" s="244"/>
      <c r="K378" s="244"/>
      <c r="O378" s="246"/>
    </row>
    <row r="379" spans="1:15" s="278" customFormat="1" ht="15.75" customHeight="1" x14ac:dyDescent="0.2">
      <c r="A379" s="246"/>
      <c r="B379" s="246"/>
      <c r="C379" s="246"/>
      <c r="D379" s="244"/>
      <c r="E379" s="48"/>
      <c r="F379" s="47"/>
      <c r="G379" s="49"/>
      <c r="H379" s="244"/>
      <c r="K379" s="244"/>
      <c r="O379" s="246"/>
    </row>
    <row r="380" spans="1:15" s="278" customFormat="1" ht="15.75" customHeight="1" x14ac:dyDescent="0.2">
      <c r="A380" s="246"/>
      <c r="B380" s="246"/>
      <c r="C380" s="246"/>
      <c r="D380" s="244"/>
      <c r="E380" s="35"/>
      <c r="F380" s="32"/>
      <c r="G380" s="36"/>
      <c r="H380" s="244"/>
      <c r="K380" s="244"/>
      <c r="O380" s="246"/>
    </row>
    <row r="381" spans="1:15" s="278" customFormat="1" ht="15.75" customHeight="1" x14ac:dyDescent="0.2">
      <c r="A381" s="246"/>
      <c r="B381" s="246"/>
      <c r="C381" s="246"/>
      <c r="D381" s="244"/>
      <c r="E381" s="48"/>
      <c r="F381" s="47"/>
      <c r="G381" s="49"/>
      <c r="H381" s="244"/>
      <c r="K381" s="244"/>
      <c r="O381" s="246"/>
    </row>
    <row r="382" spans="1:15" s="278" customFormat="1" ht="15.75" customHeight="1" x14ac:dyDescent="0.2">
      <c r="A382" s="246"/>
      <c r="B382" s="246"/>
      <c r="C382" s="246"/>
      <c r="D382" s="244"/>
      <c r="E382" s="35"/>
      <c r="F382" s="32"/>
      <c r="G382" s="36"/>
      <c r="H382" s="244"/>
      <c r="K382" s="244"/>
      <c r="O382" s="246"/>
    </row>
    <row r="383" spans="1:15" s="278" customFormat="1" ht="15.75" customHeight="1" x14ac:dyDescent="0.2">
      <c r="A383" s="246"/>
      <c r="B383" s="246"/>
      <c r="C383" s="246"/>
      <c r="D383" s="244"/>
      <c r="E383" s="48"/>
      <c r="F383" s="47"/>
      <c r="G383" s="49"/>
      <c r="H383" s="244"/>
      <c r="K383" s="244"/>
      <c r="O383" s="246"/>
    </row>
    <row r="384" spans="1:15" s="278" customFormat="1" ht="15.75" customHeight="1" x14ac:dyDescent="0.2">
      <c r="A384" s="246"/>
      <c r="B384" s="246"/>
      <c r="C384" s="246"/>
      <c r="D384" s="244"/>
      <c r="E384" s="35"/>
      <c r="F384" s="32"/>
      <c r="G384" s="36"/>
      <c r="H384" s="244"/>
      <c r="K384" s="244"/>
      <c r="O384" s="246"/>
    </row>
    <row r="385" spans="1:15" s="278" customFormat="1" ht="15.75" customHeight="1" x14ac:dyDescent="0.2">
      <c r="A385" s="246"/>
      <c r="B385" s="246"/>
      <c r="C385" s="246"/>
      <c r="D385" s="244"/>
      <c r="E385" s="48"/>
      <c r="F385" s="47"/>
      <c r="G385" s="49"/>
      <c r="H385" s="244"/>
      <c r="K385" s="244"/>
      <c r="O385" s="246"/>
    </row>
    <row r="386" spans="1:15" s="278" customFormat="1" ht="15.75" customHeight="1" x14ac:dyDescent="0.2">
      <c r="A386" s="246"/>
      <c r="B386" s="246"/>
      <c r="C386" s="246"/>
      <c r="D386" s="244"/>
      <c r="E386" s="35"/>
      <c r="F386" s="32"/>
      <c r="G386" s="36"/>
      <c r="H386" s="244"/>
      <c r="K386" s="244"/>
      <c r="O386" s="246"/>
    </row>
    <row r="387" spans="1:15" s="278" customFormat="1" ht="15.75" customHeight="1" x14ac:dyDescent="0.2">
      <c r="A387" s="246"/>
      <c r="B387" s="246"/>
      <c r="C387" s="246"/>
      <c r="D387" s="244"/>
      <c r="E387" s="48"/>
      <c r="F387" s="47"/>
      <c r="G387" s="49"/>
      <c r="H387" s="244"/>
      <c r="K387" s="244"/>
      <c r="O387" s="246"/>
    </row>
    <row r="388" spans="1:15" s="278" customFormat="1" ht="15.75" customHeight="1" x14ac:dyDescent="0.2">
      <c r="A388" s="246"/>
      <c r="B388" s="246"/>
      <c r="C388" s="246"/>
      <c r="D388" s="244"/>
      <c r="E388" s="35"/>
      <c r="F388" s="32"/>
      <c r="G388" s="36"/>
      <c r="H388" s="244"/>
      <c r="K388" s="244"/>
      <c r="O388" s="246"/>
    </row>
    <row r="389" spans="1:15" s="278" customFormat="1" ht="15.75" customHeight="1" x14ac:dyDescent="0.2">
      <c r="A389" s="246"/>
      <c r="B389" s="246"/>
      <c r="C389" s="246"/>
      <c r="D389" s="244"/>
      <c r="E389" s="48"/>
      <c r="F389" s="47"/>
      <c r="G389" s="49"/>
      <c r="H389" s="244"/>
      <c r="K389" s="244"/>
      <c r="O389" s="246"/>
    </row>
    <row r="390" spans="1:15" s="278" customFormat="1" ht="15.75" customHeight="1" x14ac:dyDescent="0.2">
      <c r="A390" s="246"/>
      <c r="B390" s="246"/>
      <c r="C390" s="246"/>
      <c r="D390" s="244"/>
      <c r="E390" s="35"/>
      <c r="F390" s="32"/>
      <c r="G390" s="36"/>
      <c r="H390" s="244"/>
      <c r="K390" s="244"/>
      <c r="O390" s="246"/>
    </row>
    <row r="391" spans="1:15" s="278" customFormat="1" ht="15.75" customHeight="1" x14ac:dyDescent="0.2">
      <c r="A391" s="246"/>
      <c r="B391" s="246"/>
      <c r="C391" s="246"/>
      <c r="D391" s="244"/>
      <c r="E391" s="48"/>
      <c r="F391" s="47"/>
      <c r="G391" s="49"/>
      <c r="H391" s="244"/>
      <c r="K391" s="244"/>
      <c r="O391" s="246"/>
    </row>
    <row r="392" spans="1:15" s="278" customFormat="1" ht="15.75" customHeight="1" x14ac:dyDescent="0.2">
      <c r="A392" s="246"/>
      <c r="B392" s="246"/>
      <c r="C392" s="246"/>
      <c r="D392" s="244"/>
      <c r="E392" s="35"/>
      <c r="F392" s="32"/>
      <c r="G392" s="36"/>
      <c r="H392" s="244"/>
      <c r="K392" s="244"/>
      <c r="O392" s="246"/>
    </row>
    <row r="393" spans="1:15" s="278" customFormat="1" ht="15.75" customHeight="1" x14ac:dyDescent="0.2">
      <c r="A393" s="246"/>
      <c r="B393" s="246"/>
      <c r="C393" s="246"/>
      <c r="D393" s="244"/>
      <c r="E393" s="48"/>
      <c r="F393" s="47"/>
      <c r="G393" s="49"/>
      <c r="H393" s="244"/>
      <c r="K393" s="244"/>
      <c r="O393" s="246"/>
    </row>
    <row r="394" spans="1:15" s="278" customFormat="1" ht="15.75" customHeight="1" x14ac:dyDescent="0.2">
      <c r="A394" s="246"/>
      <c r="B394" s="246"/>
      <c r="C394" s="246"/>
      <c r="D394" s="244"/>
      <c r="E394" s="35"/>
      <c r="F394" s="32"/>
      <c r="G394" s="36"/>
      <c r="H394" s="244"/>
      <c r="K394" s="244"/>
      <c r="O394" s="246"/>
    </row>
    <row r="395" spans="1:15" s="278" customFormat="1" ht="15.75" customHeight="1" x14ac:dyDescent="0.2">
      <c r="A395" s="246"/>
      <c r="B395" s="246"/>
      <c r="C395" s="246"/>
      <c r="D395" s="244"/>
      <c r="E395" s="48"/>
      <c r="F395" s="47"/>
      <c r="G395" s="49"/>
      <c r="H395" s="244"/>
      <c r="K395" s="244"/>
      <c r="O395" s="246"/>
    </row>
    <row r="396" spans="1:15" s="278" customFormat="1" ht="15.75" customHeight="1" x14ac:dyDescent="0.2">
      <c r="A396" s="246"/>
      <c r="B396" s="246"/>
      <c r="C396" s="246"/>
      <c r="D396" s="244"/>
      <c r="E396" s="35"/>
      <c r="F396" s="32"/>
      <c r="G396" s="36"/>
      <c r="H396" s="244"/>
      <c r="K396" s="244"/>
      <c r="O396" s="246"/>
    </row>
    <row r="397" spans="1:15" s="278" customFormat="1" ht="15.75" customHeight="1" x14ac:dyDescent="0.2">
      <c r="A397" s="246"/>
      <c r="B397" s="246"/>
      <c r="C397" s="246"/>
      <c r="D397" s="244"/>
      <c r="E397" s="48"/>
      <c r="F397" s="47"/>
      <c r="G397" s="49"/>
      <c r="H397" s="244"/>
      <c r="K397" s="244"/>
      <c r="O397" s="246"/>
    </row>
    <row r="398" spans="1:15" s="278" customFormat="1" ht="15.75" customHeight="1" x14ac:dyDescent="0.2">
      <c r="A398" s="246"/>
      <c r="B398" s="246"/>
      <c r="C398" s="246"/>
      <c r="D398" s="244"/>
      <c r="E398" s="35"/>
      <c r="F398" s="32"/>
      <c r="G398" s="36"/>
      <c r="H398" s="244"/>
      <c r="K398" s="244"/>
      <c r="O398" s="246"/>
    </row>
    <row r="399" spans="1:15" s="278" customFormat="1" ht="15.75" customHeight="1" x14ac:dyDescent="0.2">
      <c r="A399" s="246"/>
      <c r="B399" s="246"/>
      <c r="C399" s="246"/>
      <c r="D399" s="244"/>
      <c r="E399" s="48"/>
      <c r="F399" s="47"/>
      <c r="G399" s="49"/>
      <c r="H399" s="244"/>
      <c r="K399" s="244"/>
      <c r="O399" s="246"/>
    </row>
    <row r="400" spans="1:15" s="278" customFormat="1" ht="15.75" customHeight="1" x14ac:dyDescent="0.2">
      <c r="A400" s="246"/>
      <c r="B400" s="246"/>
      <c r="C400" s="246"/>
      <c r="D400" s="244"/>
      <c r="E400" s="35"/>
      <c r="F400" s="32"/>
      <c r="G400" s="36"/>
      <c r="H400" s="244"/>
      <c r="K400" s="244"/>
      <c r="O400" s="246"/>
    </row>
    <row r="401" spans="1:15" s="278" customFormat="1" ht="15.75" customHeight="1" x14ac:dyDescent="0.2">
      <c r="A401" s="246"/>
      <c r="B401" s="246"/>
      <c r="C401" s="246"/>
      <c r="D401" s="244"/>
      <c r="E401" s="48"/>
      <c r="F401" s="47"/>
      <c r="G401" s="49"/>
      <c r="H401" s="244"/>
      <c r="K401" s="244"/>
      <c r="O401" s="246"/>
    </row>
    <row r="402" spans="1:15" s="278" customFormat="1" ht="15.75" customHeight="1" x14ac:dyDescent="0.2">
      <c r="A402" s="246"/>
      <c r="B402" s="246"/>
      <c r="C402" s="246"/>
      <c r="D402" s="244"/>
      <c r="E402" s="35"/>
      <c r="F402" s="32"/>
      <c r="G402" s="36"/>
      <c r="H402" s="244"/>
      <c r="K402" s="244"/>
      <c r="O402" s="246"/>
    </row>
    <row r="403" spans="1:15" s="278" customFormat="1" ht="15.75" customHeight="1" x14ac:dyDescent="0.2">
      <c r="A403" s="246"/>
      <c r="B403" s="246"/>
      <c r="C403" s="246"/>
      <c r="D403" s="244"/>
      <c r="E403" s="48"/>
      <c r="F403" s="47"/>
      <c r="G403" s="49"/>
      <c r="H403" s="244"/>
      <c r="K403" s="244"/>
      <c r="O403" s="246"/>
    </row>
    <row r="404" spans="1:15" s="278" customFormat="1" ht="15.75" customHeight="1" x14ac:dyDescent="0.2">
      <c r="A404" s="246"/>
      <c r="B404" s="246"/>
      <c r="C404" s="246"/>
      <c r="D404" s="244"/>
      <c r="E404" s="35"/>
      <c r="F404" s="32"/>
      <c r="G404" s="36"/>
      <c r="H404" s="244"/>
      <c r="K404" s="244"/>
      <c r="O404" s="246"/>
    </row>
    <row r="405" spans="1:15" s="278" customFormat="1" ht="15.75" customHeight="1" x14ac:dyDescent="0.2">
      <c r="A405" s="246"/>
      <c r="B405" s="246"/>
      <c r="C405" s="246"/>
      <c r="D405" s="244"/>
      <c r="E405" s="48"/>
      <c r="F405" s="47"/>
      <c r="G405" s="49"/>
      <c r="H405" s="244"/>
      <c r="K405" s="244"/>
      <c r="O405" s="246"/>
    </row>
    <row r="406" spans="1:15" s="278" customFormat="1" ht="15.75" customHeight="1" x14ac:dyDescent="0.2">
      <c r="A406" s="246"/>
      <c r="B406" s="246"/>
      <c r="C406" s="246"/>
      <c r="D406" s="244"/>
      <c r="E406" s="35"/>
      <c r="F406" s="32"/>
      <c r="G406" s="36"/>
      <c r="H406" s="244"/>
      <c r="K406" s="244"/>
      <c r="O406" s="246"/>
    </row>
    <row r="407" spans="1:15" s="278" customFormat="1" ht="15.75" customHeight="1" x14ac:dyDescent="0.2">
      <c r="A407" s="246"/>
      <c r="B407" s="246"/>
      <c r="C407" s="246"/>
      <c r="D407" s="244"/>
      <c r="E407" s="48"/>
      <c r="F407" s="47"/>
      <c r="G407" s="49"/>
      <c r="H407" s="244"/>
      <c r="K407" s="244"/>
      <c r="O407" s="246"/>
    </row>
    <row r="408" spans="1:15" s="278" customFormat="1" ht="15.75" customHeight="1" x14ac:dyDescent="0.2">
      <c r="A408" s="246"/>
      <c r="B408" s="246"/>
      <c r="C408" s="246"/>
      <c r="D408" s="244"/>
      <c r="E408" s="35"/>
      <c r="F408" s="32"/>
      <c r="G408" s="36"/>
      <c r="H408" s="244"/>
      <c r="K408" s="244"/>
      <c r="O408" s="246"/>
    </row>
    <row r="409" spans="1:15" s="278" customFormat="1" ht="15.75" customHeight="1" x14ac:dyDescent="0.2">
      <c r="A409" s="246"/>
      <c r="B409" s="246"/>
      <c r="C409" s="246"/>
      <c r="D409" s="244"/>
      <c r="E409" s="48"/>
      <c r="F409" s="47"/>
      <c r="G409" s="49"/>
      <c r="H409" s="244"/>
      <c r="K409" s="244"/>
      <c r="O409" s="246"/>
    </row>
    <row r="410" spans="1:15" s="278" customFormat="1" ht="15.75" customHeight="1" x14ac:dyDescent="0.2">
      <c r="A410" s="246"/>
      <c r="B410" s="246"/>
      <c r="C410" s="246"/>
      <c r="D410" s="244"/>
      <c r="E410" s="35"/>
      <c r="F410" s="32"/>
      <c r="G410" s="36"/>
      <c r="H410" s="244"/>
      <c r="K410" s="244"/>
      <c r="O410" s="246"/>
    </row>
    <row r="411" spans="1:15" s="278" customFormat="1" ht="15.75" customHeight="1" x14ac:dyDescent="0.2">
      <c r="A411" s="246"/>
      <c r="B411" s="246"/>
      <c r="C411" s="246"/>
      <c r="D411" s="244"/>
      <c r="E411" s="48"/>
      <c r="F411" s="47"/>
      <c r="G411" s="49"/>
      <c r="H411" s="244"/>
      <c r="K411" s="244"/>
      <c r="O411" s="246"/>
    </row>
    <row r="412" spans="1:15" s="278" customFormat="1" ht="15.75" customHeight="1" x14ac:dyDescent="0.2">
      <c r="A412" s="246"/>
      <c r="B412" s="246"/>
      <c r="C412" s="246"/>
      <c r="D412" s="244"/>
      <c r="E412" s="35"/>
      <c r="F412" s="32"/>
      <c r="G412" s="36"/>
      <c r="H412" s="244"/>
      <c r="K412" s="244"/>
      <c r="O412" s="246"/>
    </row>
    <row r="413" spans="1:15" s="278" customFormat="1" ht="15.75" customHeight="1" x14ac:dyDescent="0.2">
      <c r="A413" s="246"/>
      <c r="B413" s="246"/>
      <c r="C413" s="246"/>
      <c r="D413" s="244"/>
      <c r="E413" s="48"/>
      <c r="F413" s="47"/>
      <c r="G413" s="49"/>
      <c r="H413" s="244"/>
      <c r="K413" s="244"/>
      <c r="O413" s="246"/>
    </row>
    <row r="414" spans="1:15" s="278" customFormat="1" ht="15.75" customHeight="1" x14ac:dyDescent="0.2">
      <c r="A414" s="246"/>
      <c r="B414" s="246"/>
      <c r="C414" s="246"/>
      <c r="D414" s="244"/>
      <c r="E414" s="35"/>
      <c r="F414" s="32"/>
      <c r="G414" s="36"/>
      <c r="H414" s="244"/>
      <c r="K414" s="244"/>
      <c r="O414" s="246"/>
    </row>
    <row r="415" spans="1:15" s="278" customFormat="1" ht="15.75" customHeight="1" x14ac:dyDescent="0.2">
      <c r="A415" s="246"/>
      <c r="B415" s="246"/>
      <c r="C415" s="246"/>
      <c r="D415" s="244"/>
      <c r="E415" s="48"/>
      <c r="F415" s="47"/>
      <c r="G415" s="49"/>
      <c r="H415" s="244"/>
      <c r="K415" s="244"/>
      <c r="O415" s="246"/>
    </row>
    <row r="416" spans="1:15" s="278" customFormat="1" ht="15.75" customHeight="1" x14ac:dyDescent="0.2">
      <c r="A416" s="246"/>
      <c r="B416" s="246"/>
      <c r="C416" s="246"/>
      <c r="D416" s="244"/>
      <c r="E416" s="35"/>
      <c r="F416" s="32"/>
      <c r="G416" s="36"/>
      <c r="H416" s="244"/>
      <c r="K416" s="244"/>
      <c r="O416" s="246"/>
    </row>
    <row r="417" spans="1:15" s="278" customFormat="1" ht="15.75" customHeight="1" x14ac:dyDescent="0.2">
      <c r="A417" s="246"/>
      <c r="B417" s="246"/>
      <c r="C417" s="246"/>
      <c r="D417" s="244"/>
      <c r="E417" s="48"/>
      <c r="F417" s="47"/>
      <c r="G417" s="49"/>
      <c r="H417" s="244"/>
      <c r="K417" s="244"/>
      <c r="O417" s="246"/>
    </row>
    <row r="418" spans="1:15" s="278" customFormat="1" ht="15.75" customHeight="1" x14ac:dyDescent="0.2">
      <c r="A418" s="246"/>
      <c r="B418" s="246"/>
      <c r="C418" s="246"/>
      <c r="D418" s="244"/>
      <c r="E418" s="35"/>
      <c r="F418" s="32"/>
      <c r="G418" s="36"/>
      <c r="H418" s="244"/>
      <c r="K418" s="244"/>
      <c r="O418" s="246"/>
    </row>
    <row r="419" spans="1:15" s="278" customFormat="1" ht="15.75" customHeight="1" x14ac:dyDescent="0.2">
      <c r="A419" s="246"/>
      <c r="B419" s="246"/>
      <c r="C419" s="246"/>
      <c r="D419" s="244"/>
      <c r="E419" s="48"/>
      <c r="F419" s="47"/>
      <c r="G419" s="49"/>
      <c r="H419" s="244"/>
      <c r="K419" s="244"/>
      <c r="O419" s="246"/>
    </row>
    <row r="420" spans="1:15" s="278" customFormat="1" ht="15.75" customHeight="1" x14ac:dyDescent="0.2">
      <c r="A420" s="246"/>
      <c r="B420" s="246"/>
      <c r="C420" s="246"/>
      <c r="D420" s="244"/>
      <c r="E420" s="35"/>
      <c r="F420" s="32"/>
      <c r="G420" s="36"/>
      <c r="H420" s="244"/>
      <c r="K420" s="244"/>
      <c r="O420" s="246"/>
    </row>
    <row r="421" spans="1:15" s="278" customFormat="1" ht="15.75" customHeight="1" x14ac:dyDescent="0.2">
      <c r="A421" s="246"/>
      <c r="B421" s="246"/>
      <c r="C421" s="246"/>
      <c r="D421" s="244"/>
      <c r="E421" s="48"/>
      <c r="F421" s="47"/>
      <c r="G421" s="49"/>
      <c r="H421" s="244"/>
      <c r="K421" s="244"/>
      <c r="O421" s="246"/>
    </row>
    <row r="422" spans="1:15" s="278" customFormat="1" ht="15.75" customHeight="1" x14ac:dyDescent="0.2">
      <c r="A422" s="246"/>
      <c r="B422" s="246"/>
      <c r="C422" s="246"/>
      <c r="D422" s="244"/>
      <c r="E422" s="35"/>
      <c r="F422" s="32"/>
      <c r="G422" s="36"/>
      <c r="H422" s="244"/>
      <c r="K422" s="244"/>
      <c r="O422" s="246"/>
    </row>
    <row r="423" spans="1:15" s="278" customFormat="1" ht="15.75" customHeight="1" x14ac:dyDescent="0.2">
      <c r="A423" s="246"/>
      <c r="B423" s="246"/>
      <c r="C423" s="246"/>
      <c r="D423" s="244"/>
      <c r="E423" s="48"/>
      <c r="F423" s="47"/>
      <c r="G423" s="49"/>
      <c r="H423" s="244"/>
      <c r="K423" s="244"/>
      <c r="O423" s="246"/>
    </row>
    <row r="424" spans="1:15" s="278" customFormat="1" ht="15.75" customHeight="1" x14ac:dyDescent="0.2">
      <c r="A424" s="246"/>
      <c r="B424" s="246"/>
      <c r="C424" s="246"/>
      <c r="D424" s="244"/>
      <c r="E424" s="35"/>
      <c r="F424" s="32"/>
      <c r="G424" s="36"/>
      <c r="H424" s="244"/>
      <c r="K424" s="244"/>
      <c r="O424" s="246"/>
    </row>
    <row r="425" spans="1:15" s="278" customFormat="1" ht="15.75" customHeight="1" x14ac:dyDescent="0.2">
      <c r="A425" s="246"/>
      <c r="B425" s="246"/>
      <c r="C425" s="246"/>
      <c r="D425" s="244"/>
      <c r="E425" s="48"/>
      <c r="F425" s="47"/>
      <c r="G425" s="49"/>
      <c r="H425" s="244"/>
      <c r="K425" s="244"/>
      <c r="O425" s="246"/>
    </row>
    <row r="426" spans="1:15" s="278" customFormat="1" ht="15.75" customHeight="1" x14ac:dyDescent="0.2">
      <c r="A426" s="246"/>
      <c r="B426" s="246"/>
      <c r="C426" s="246"/>
      <c r="D426" s="244"/>
      <c r="E426" s="35"/>
      <c r="F426" s="32"/>
      <c r="G426" s="36"/>
      <c r="H426" s="244"/>
      <c r="K426" s="244"/>
      <c r="O426" s="246"/>
    </row>
    <row r="427" spans="1:15" s="278" customFormat="1" ht="15.75" customHeight="1" x14ac:dyDescent="0.2">
      <c r="A427" s="246"/>
      <c r="B427" s="246"/>
      <c r="C427" s="246"/>
      <c r="D427" s="244"/>
      <c r="E427" s="48"/>
      <c r="F427" s="47"/>
      <c r="G427" s="49"/>
      <c r="H427" s="244"/>
      <c r="K427" s="244"/>
      <c r="O427" s="246"/>
    </row>
    <row r="428" spans="1:15" s="278" customFormat="1" ht="15.75" customHeight="1" x14ac:dyDescent="0.2">
      <c r="A428" s="246"/>
      <c r="B428" s="246"/>
      <c r="C428" s="246"/>
      <c r="D428" s="244"/>
      <c r="E428" s="35"/>
      <c r="F428" s="32"/>
      <c r="G428" s="36"/>
      <c r="H428" s="244"/>
      <c r="K428" s="244"/>
      <c r="O428" s="246"/>
    </row>
    <row r="429" spans="1:15" s="278" customFormat="1" ht="15.75" customHeight="1" x14ac:dyDescent="0.2">
      <c r="A429" s="246"/>
      <c r="B429" s="246"/>
      <c r="C429" s="246"/>
      <c r="D429" s="244"/>
      <c r="H429" s="244"/>
      <c r="K429" s="244"/>
      <c r="O429" s="246"/>
    </row>
    <row r="430" spans="1:15" s="278" customFormat="1" ht="15.75" customHeight="1" x14ac:dyDescent="0.2">
      <c r="A430" s="246"/>
      <c r="B430" s="246"/>
      <c r="C430" s="246"/>
      <c r="D430" s="244"/>
      <c r="H430" s="244"/>
      <c r="K430" s="244"/>
      <c r="O430" s="246"/>
    </row>
    <row r="431" spans="1:15" s="278" customFormat="1" ht="15.75" customHeight="1" x14ac:dyDescent="0.2">
      <c r="A431" s="246"/>
      <c r="B431" s="246"/>
      <c r="C431" s="246"/>
      <c r="D431" s="244"/>
      <c r="H431" s="244"/>
      <c r="K431" s="244"/>
      <c r="O431" s="246"/>
    </row>
    <row r="432" spans="1:15" s="278" customFormat="1" ht="15.75" customHeight="1" x14ac:dyDescent="0.2">
      <c r="A432" s="246"/>
      <c r="B432" s="246"/>
      <c r="C432" s="246"/>
      <c r="D432" s="244"/>
      <c r="H432" s="244"/>
      <c r="K432" s="244"/>
      <c r="O432" s="246"/>
    </row>
    <row r="433" spans="1:15" s="278" customFormat="1" ht="15.75" customHeight="1" x14ac:dyDescent="0.2">
      <c r="A433" s="246"/>
      <c r="B433" s="246"/>
      <c r="C433" s="246"/>
      <c r="D433" s="244"/>
      <c r="H433" s="244"/>
      <c r="K433" s="244"/>
      <c r="O433" s="246"/>
    </row>
    <row r="434" spans="1:15" s="278" customFormat="1" ht="15.75" customHeight="1" x14ac:dyDescent="0.2">
      <c r="A434" s="246"/>
      <c r="B434" s="246"/>
      <c r="C434" s="246"/>
      <c r="D434" s="244"/>
      <c r="H434" s="244"/>
      <c r="K434" s="244"/>
      <c r="O434" s="246"/>
    </row>
    <row r="435" spans="1:15" s="278" customFormat="1" ht="15.75" customHeight="1" x14ac:dyDescent="0.2">
      <c r="A435" s="246"/>
      <c r="B435" s="246"/>
      <c r="C435" s="246"/>
      <c r="D435" s="244"/>
      <c r="H435" s="244"/>
      <c r="K435" s="244"/>
      <c r="O435" s="246"/>
    </row>
    <row r="436" spans="1:15" s="278" customFormat="1" ht="15.75" customHeight="1" x14ac:dyDescent="0.2">
      <c r="A436" s="246"/>
      <c r="B436" s="246"/>
      <c r="C436" s="246"/>
      <c r="D436" s="244"/>
      <c r="H436" s="244"/>
      <c r="K436" s="244"/>
      <c r="O436" s="246"/>
    </row>
    <row r="437" spans="1:15" s="278" customFormat="1" ht="15.75" customHeight="1" x14ac:dyDescent="0.2">
      <c r="A437" s="246"/>
      <c r="B437" s="246"/>
      <c r="C437" s="246"/>
      <c r="D437" s="244"/>
      <c r="H437" s="244"/>
      <c r="K437" s="244"/>
      <c r="O437" s="246"/>
    </row>
    <row r="438" spans="1:15" s="278" customFormat="1" ht="15.75" customHeight="1" x14ac:dyDescent="0.2">
      <c r="A438" s="246"/>
      <c r="B438" s="246"/>
      <c r="C438" s="246"/>
      <c r="D438" s="244"/>
      <c r="H438" s="244"/>
      <c r="K438" s="244"/>
      <c r="O438" s="246"/>
    </row>
    <row r="439" spans="1:15" s="278" customFormat="1" ht="15.75" customHeight="1" x14ac:dyDescent="0.2">
      <c r="A439" s="246"/>
      <c r="B439" s="246"/>
      <c r="C439" s="246"/>
      <c r="D439" s="244"/>
      <c r="H439" s="244"/>
      <c r="K439" s="244"/>
      <c r="O439" s="246"/>
    </row>
    <row r="440" spans="1:15" s="278" customFormat="1" ht="15.75" customHeight="1" x14ac:dyDescent="0.2">
      <c r="A440" s="246"/>
      <c r="B440" s="246"/>
      <c r="C440" s="246"/>
      <c r="D440" s="244"/>
      <c r="H440" s="244"/>
      <c r="K440" s="244"/>
      <c r="O440" s="246"/>
    </row>
    <row r="441" spans="1:15" s="278" customFormat="1" ht="15.75" customHeight="1" x14ac:dyDescent="0.2">
      <c r="A441" s="246"/>
      <c r="B441" s="246"/>
      <c r="C441" s="246"/>
      <c r="D441" s="244"/>
      <c r="H441" s="244"/>
      <c r="K441" s="244"/>
      <c r="O441" s="246"/>
    </row>
    <row r="442" spans="1:15" s="278" customFormat="1" ht="15.75" customHeight="1" x14ac:dyDescent="0.2">
      <c r="A442" s="246"/>
      <c r="B442" s="246"/>
      <c r="C442" s="246"/>
      <c r="D442" s="244"/>
      <c r="H442" s="244"/>
      <c r="K442" s="244"/>
      <c r="O442" s="246"/>
    </row>
    <row r="443" spans="1:15" s="278" customFormat="1" ht="15.75" customHeight="1" x14ac:dyDescent="0.2">
      <c r="A443" s="246"/>
      <c r="B443" s="246"/>
      <c r="C443" s="246"/>
      <c r="D443" s="244"/>
      <c r="H443" s="244"/>
      <c r="K443" s="244"/>
      <c r="O443" s="246"/>
    </row>
    <row r="444" spans="1:15" s="278" customFormat="1" ht="15.75" customHeight="1" x14ac:dyDescent="0.2">
      <c r="A444" s="246"/>
      <c r="B444" s="246"/>
      <c r="C444" s="246"/>
      <c r="D444" s="244"/>
      <c r="H444" s="244"/>
      <c r="K444" s="244"/>
      <c r="O444" s="246"/>
    </row>
    <row r="445" spans="1:15" s="278" customFormat="1" ht="15.75" customHeight="1" x14ac:dyDescent="0.2">
      <c r="A445" s="246"/>
      <c r="B445" s="246"/>
      <c r="C445" s="246"/>
      <c r="D445" s="244"/>
      <c r="H445" s="244"/>
      <c r="K445" s="244"/>
      <c r="O445" s="246"/>
    </row>
    <row r="446" spans="1:15" s="278" customFormat="1" ht="15.75" customHeight="1" x14ac:dyDescent="0.2">
      <c r="A446" s="246"/>
      <c r="B446" s="246"/>
      <c r="C446" s="246"/>
      <c r="D446" s="244"/>
      <c r="H446" s="244"/>
      <c r="K446" s="244"/>
      <c r="O446" s="246"/>
    </row>
    <row r="447" spans="1:15" s="278" customFormat="1" ht="15.75" customHeight="1" x14ac:dyDescent="0.2">
      <c r="A447" s="246"/>
      <c r="B447" s="246"/>
      <c r="C447" s="246"/>
      <c r="D447" s="244"/>
      <c r="H447" s="244"/>
      <c r="K447" s="244"/>
      <c r="O447" s="246"/>
    </row>
    <row r="448" spans="1:15" s="278" customFormat="1" ht="15.75" customHeight="1" x14ac:dyDescent="0.2">
      <c r="A448" s="246"/>
      <c r="B448" s="246"/>
      <c r="C448" s="246"/>
      <c r="D448" s="244"/>
      <c r="H448" s="244"/>
      <c r="K448" s="244"/>
      <c r="O448" s="246"/>
    </row>
    <row r="449" spans="1:15" s="278" customFormat="1" ht="15.75" customHeight="1" x14ac:dyDescent="0.2">
      <c r="A449" s="246"/>
      <c r="B449" s="246"/>
      <c r="C449" s="246"/>
      <c r="D449" s="244"/>
      <c r="H449" s="244"/>
      <c r="K449" s="244"/>
      <c r="O449" s="246"/>
    </row>
    <row r="450" spans="1:15" s="278" customFormat="1" ht="15.75" customHeight="1" x14ac:dyDescent="0.2">
      <c r="A450" s="246"/>
      <c r="B450" s="246"/>
      <c r="C450" s="246"/>
      <c r="D450" s="244"/>
      <c r="H450" s="244"/>
      <c r="K450" s="244"/>
      <c r="O450" s="246"/>
    </row>
    <row r="451" spans="1:15" s="278" customFormat="1" ht="15.75" customHeight="1" x14ac:dyDescent="0.2">
      <c r="A451" s="246"/>
      <c r="B451" s="246"/>
      <c r="C451" s="246"/>
      <c r="D451" s="244"/>
      <c r="H451" s="244"/>
      <c r="K451" s="244"/>
      <c r="O451" s="246"/>
    </row>
    <row r="452" spans="1:15" s="278" customFormat="1" ht="15.75" customHeight="1" x14ac:dyDescent="0.2">
      <c r="A452" s="246"/>
      <c r="B452" s="246"/>
      <c r="C452" s="246"/>
      <c r="D452" s="244"/>
      <c r="H452" s="244"/>
      <c r="K452" s="244"/>
      <c r="O452" s="246"/>
    </row>
    <row r="453" spans="1:15" s="278" customFormat="1" ht="15.75" customHeight="1" x14ac:dyDescent="0.2">
      <c r="A453" s="246"/>
      <c r="B453" s="246"/>
      <c r="C453" s="246"/>
      <c r="D453" s="244"/>
      <c r="H453" s="244"/>
      <c r="K453" s="244"/>
      <c r="O453" s="246"/>
    </row>
    <row r="454" spans="1:15" s="278" customFormat="1" ht="15.75" customHeight="1" x14ac:dyDescent="0.2">
      <c r="A454" s="246"/>
      <c r="B454" s="246"/>
      <c r="C454" s="246"/>
      <c r="D454" s="244"/>
      <c r="H454" s="244"/>
      <c r="K454" s="244"/>
      <c r="O454" s="246"/>
    </row>
    <row r="455" spans="1:15" s="278" customFormat="1" ht="15.75" customHeight="1" x14ac:dyDescent="0.2">
      <c r="A455" s="246"/>
      <c r="B455" s="246"/>
      <c r="C455" s="246"/>
      <c r="D455" s="244"/>
      <c r="H455" s="244"/>
      <c r="K455" s="244"/>
      <c r="O455" s="246"/>
    </row>
    <row r="456" spans="1:15" s="278" customFormat="1" ht="15.75" customHeight="1" x14ac:dyDescent="0.2">
      <c r="A456" s="246"/>
      <c r="B456" s="246"/>
      <c r="C456" s="246"/>
      <c r="D456" s="244"/>
      <c r="H456" s="244"/>
      <c r="K456" s="244"/>
      <c r="O456" s="246"/>
    </row>
    <row r="457" spans="1:15" s="278" customFormat="1" ht="15.75" customHeight="1" x14ac:dyDescent="0.2">
      <c r="A457" s="246"/>
      <c r="B457" s="246"/>
      <c r="C457" s="246"/>
      <c r="D457" s="244"/>
      <c r="H457" s="244"/>
      <c r="K457" s="244"/>
      <c r="O457" s="246"/>
    </row>
    <row r="458" spans="1:15" s="278" customFormat="1" ht="15.75" customHeight="1" x14ac:dyDescent="0.2">
      <c r="A458" s="246"/>
      <c r="B458" s="246"/>
      <c r="C458" s="246"/>
      <c r="D458" s="244"/>
      <c r="H458" s="244"/>
      <c r="K458" s="244"/>
      <c r="O458" s="246"/>
    </row>
    <row r="459" spans="1:15" s="278" customFormat="1" ht="15.75" customHeight="1" x14ac:dyDescent="0.2">
      <c r="A459" s="246"/>
      <c r="B459" s="246"/>
      <c r="C459" s="246"/>
      <c r="D459" s="244"/>
      <c r="H459" s="244"/>
      <c r="K459" s="244"/>
      <c r="O459" s="246"/>
    </row>
    <row r="460" spans="1:15" s="278" customFormat="1" ht="15.75" customHeight="1" x14ac:dyDescent="0.2">
      <c r="A460" s="246"/>
      <c r="B460" s="246"/>
      <c r="C460" s="246"/>
      <c r="D460" s="244"/>
      <c r="H460" s="244"/>
      <c r="K460" s="244"/>
      <c r="O460" s="246"/>
    </row>
    <row r="461" spans="1:15" s="278" customFormat="1" ht="15.75" customHeight="1" x14ac:dyDescent="0.2">
      <c r="A461" s="246"/>
      <c r="B461" s="246"/>
      <c r="C461" s="246"/>
      <c r="D461" s="244"/>
      <c r="H461" s="244"/>
      <c r="K461" s="244"/>
      <c r="O461" s="246"/>
    </row>
    <row r="462" spans="1:15" s="278" customFormat="1" ht="15.75" customHeight="1" x14ac:dyDescent="0.2">
      <c r="A462" s="246"/>
      <c r="B462" s="246"/>
      <c r="C462" s="246"/>
      <c r="D462" s="244"/>
      <c r="H462" s="244"/>
      <c r="K462" s="244"/>
      <c r="O462" s="246"/>
    </row>
    <row r="463" spans="1:15" s="278" customFormat="1" ht="15.75" customHeight="1" x14ac:dyDescent="0.2">
      <c r="A463" s="246"/>
      <c r="B463" s="246"/>
      <c r="C463" s="246"/>
      <c r="D463" s="244"/>
      <c r="H463" s="244"/>
      <c r="K463" s="244"/>
      <c r="O463" s="246"/>
    </row>
    <row r="464" spans="1:15" s="278" customFormat="1" ht="15.75" customHeight="1" x14ac:dyDescent="0.2">
      <c r="A464" s="246"/>
      <c r="B464" s="246"/>
      <c r="C464" s="246"/>
      <c r="D464" s="244"/>
      <c r="H464" s="244"/>
      <c r="K464" s="244"/>
      <c r="O464" s="246"/>
    </row>
    <row r="465" spans="1:15" s="278" customFormat="1" ht="15.75" customHeight="1" x14ac:dyDescent="0.2">
      <c r="A465" s="246"/>
      <c r="B465" s="246"/>
      <c r="C465" s="246"/>
      <c r="D465" s="244"/>
      <c r="H465" s="244"/>
      <c r="K465" s="244"/>
      <c r="O465" s="246"/>
    </row>
    <row r="466" spans="1:15" s="278" customFormat="1" ht="15.75" customHeight="1" x14ac:dyDescent="0.2">
      <c r="A466" s="246"/>
      <c r="B466" s="246"/>
      <c r="C466" s="246"/>
      <c r="D466" s="244"/>
      <c r="H466" s="244"/>
      <c r="K466" s="244"/>
      <c r="O466" s="246"/>
    </row>
    <row r="467" spans="1:15" s="278" customFormat="1" ht="15.75" customHeight="1" x14ac:dyDescent="0.2">
      <c r="A467" s="246"/>
      <c r="B467" s="246"/>
      <c r="C467" s="246"/>
      <c r="D467" s="244"/>
      <c r="H467" s="244"/>
      <c r="K467" s="244"/>
      <c r="O467" s="246"/>
    </row>
    <row r="468" spans="1:15" s="278" customFormat="1" ht="15.75" customHeight="1" x14ac:dyDescent="0.2">
      <c r="A468" s="246"/>
      <c r="B468" s="246"/>
      <c r="C468" s="246"/>
      <c r="D468" s="244"/>
      <c r="H468" s="244"/>
      <c r="K468" s="244"/>
      <c r="O468" s="246"/>
    </row>
    <row r="469" spans="1:15" s="278" customFormat="1" ht="15.75" customHeight="1" x14ac:dyDescent="0.2">
      <c r="A469" s="246"/>
      <c r="B469" s="246"/>
      <c r="C469" s="246"/>
      <c r="D469" s="244"/>
      <c r="H469" s="244"/>
      <c r="K469" s="244"/>
      <c r="O469" s="246"/>
    </row>
    <row r="470" spans="1:15" s="278" customFormat="1" ht="15.75" customHeight="1" x14ac:dyDescent="0.2">
      <c r="A470" s="246"/>
      <c r="B470" s="246"/>
      <c r="C470" s="246"/>
      <c r="D470" s="244"/>
      <c r="H470" s="244"/>
      <c r="K470" s="244"/>
      <c r="O470" s="246"/>
    </row>
    <row r="471" spans="1:15" s="278" customFormat="1" ht="15.75" customHeight="1" x14ac:dyDescent="0.2">
      <c r="A471" s="246"/>
      <c r="B471" s="246"/>
      <c r="C471" s="246"/>
      <c r="D471" s="244"/>
      <c r="H471" s="244"/>
      <c r="K471" s="244"/>
      <c r="O471" s="246"/>
    </row>
    <row r="472" spans="1:15" s="278" customFormat="1" ht="15.75" customHeight="1" x14ac:dyDescent="0.2">
      <c r="A472" s="246"/>
      <c r="B472" s="246"/>
      <c r="C472" s="246"/>
      <c r="D472" s="244"/>
      <c r="H472" s="244"/>
      <c r="K472" s="244"/>
      <c r="O472" s="246"/>
    </row>
    <row r="473" spans="1:15" s="278" customFormat="1" ht="15.75" customHeight="1" x14ac:dyDescent="0.2">
      <c r="A473" s="246"/>
      <c r="B473" s="246"/>
      <c r="C473" s="246"/>
      <c r="D473" s="244"/>
      <c r="H473" s="244"/>
      <c r="K473" s="244"/>
      <c r="O473" s="246"/>
    </row>
    <row r="474" spans="1:15" s="278" customFormat="1" ht="15.75" customHeight="1" x14ac:dyDescent="0.2">
      <c r="A474" s="246"/>
      <c r="B474" s="246"/>
      <c r="C474" s="246"/>
      <c r="D474" s="244"/>
      <c r="H474" s="244"/>
      <c r="K474" s="244"/>
      <c r="O474" s="246"/>
    </row>
    <row r="475" spans="1:15" s="278" customFormat="1" ht="15.75" customHeight="1" x14ac:dyDescent="0.2">
      <c r="A475" s="246"/>
      <c r="B475" s="246"/>
      <c r="C475" s="246"/>
      <c r="D475" s="244"/>
      <c r="H475" s="244"/>
      <c r="K475" s="244"/>
      <c r="O475" s="246"/>
    </row>
    <row r="476" spans="1:15" s="278" customFormat="1" ht="15.75" customHeight="1" x14ac:dyDescent="0.2">
      <c r="A476" s="246"/>
      <c r="B476" s="246"/>
      <c r="C476" s="246"/>
      <c r="D476" s="244"/>
      <c r="H476" s="244"/>
      <c r="K476" s="244"/>
      <c r="O476" s="246"/>
    </row>
    <row r="477" spans="1:15" s="278" customFormat="1" ht="15.75" customHeight="1" x14ac:dyDescent="0.2">
      <c r="A477" s="246"/>
      <c r="B477" s="246"/>
      <c r="C477" s="246"/>
      <c r="D477" s="244"/>
      <c r="H477" s="244"/>
      <c r="K477" s="244"/>
      <c r="O477" s="246"/>
    </row>
    <row r="478" spans="1:15" s="278" customFormat="1" ht="15.75" customHeight="1" x14ac:dyDescent="0.2">
      <c r="A478" s="246"/>
      <c r="B478" s="246"/>
      <c r="C478" s="246"/>
      <c r="D478" s="244"/>
      <c r="H478" s="244"/>
      <c r="K478" s="244"/>
      <c r="O478" s="246"/>
    </row>
    <row r="479" spans="1:15" s="278" customFormat="1" ht="15.75" customHeight="1" x14ac:dyDescent="0.2">
      <c r="A479" s="246"/>
      <c r="B479" s="246"/>
      <c r="C479" s="246"/>
      <c r="D479" s="244"/>
      <c r="H479" s="244"/>
      <c r="K479" s="244"/>
      <c r="O479" s="246"/>
    </row>
    <row r="480" spans="1:15" s="278" customFormat="1" ht="15.75" customHeight="1" x14ac:dyDescent="0.2">
      <c r="A480" s="246"/>
      <c r="B480" s="246"/>
      <c r="C480" s="246"/>
      <c r="D480" s="244"/>
      <c r="H480" s="244"/>
      <c r="K480" s="244"/>
      <c r="O480" s="246"/>
    </row>
    <row r="481" spans="1:15" s="278" customFormat="1" ht="15.75" customHeight="1" x14ac:dyDescent="0.2">
      <c r="A481" s="246"/>
      <c r="B481" s="246"/>
      <c r="C481" s="246"/>
      <c r="D481" s="244"/>
      <c r="H481" s="244"/>
      <c r="K481" s="244"/>
      <c r="O481" s="246"/>
    </row>
    <row r="482" spans="1:15" s="278" customFormat="1" ht="15.75" customHeight="1" x14ac:dyDescent="0.2">
      <c r="A482" s="246"/>
      <c r="B482" s="246"/>
      <c r="C482" s="246"/>
      <c r="D482" s="244"/>
      <c r="H482" s="244"/>
      <c r="K482" s="244"/>
      <c r="O482" s="246"/>
    </row>
    <row r="483" spans="1:15" s="278" customFormat="1" ht="15.75" customHeight="1" x14ac:dyDescent="0.2">
      <c r="A483" s="246"/>
      <c r="B483" s="246"/>
      <c r="C483" s="246"/>
      <c r="D483" s="244"/>
      <c r="H483" s="244"/>
      <c r="K483" s="244"/>
      <c r="O483" s="246"/>
    </row>
    <row r="484" spans="1:15" s="278" customFormat="1" ht="15.75" customHeight="1" x14ac:dyDescent="0.2">
      <c r="A484" s="246"/>
      <c r="B484" s="246"/>
      <c r="C484" s="246"/>
      <c r="D484" s="244"/>
      <c r="H484" s="244"/>
      <c r="K484" s="244"/>
      <c r="O484" s="246"/>
    </row>
    <row r="485" spans="1:15" s="278" customFormat="1" ht="15.75" customHeight="1" x14ac:dyDescent="0.2">
      <c r="A485" s="246"/>
      <c r="B485" s="246"/>
      <c r="C485" s="246"/>
      <c r="D485" s="244"/>
      <c r="H485" s="244"/>
      <c r="K485" s="244"/>
      <c r="O485" s="246"/>
    </row>
    <row r="486" spans="1:15" s="278" customFormat="1" ht="15.75" customHeight="1" x14ac:dyDescent="0.2">
      <c r="A486" s="246"/>
      <c r="B486" s="246"/>
      <c r="C486" s="246"/>
      <c r="D486" s="244"/>
      <c r="H486" s="244"/>
      <c r="K486" s="244"/>
      <c r="O486" s="246"/>
    </row>
    <row r="487" spans="1:15" s="278" customFormat="1" ht="15.75" customHeight="1" x14ac:dyDescent="0.2">
      <c r="A487" s="246"/>
      <c r="B487" s="246"/>
      <c r="C487" s="246"/>
      <c r="D487" s="244"/>
      <c r="H487" s="244"/>
      <c r="K487" s="244"/>
      <c r="O487" s="246"/>
    </row>
    <row r="488" spans="1:15" s="278" customFormat="1" ht="15.75" customHeight="1" x14ac:dyDescent="0.2">
      <c r="A488" s="246"/>
      <c r="B488" s="246"/>
      <c r="C488" s="246"/>
      <c r="D488" s="244"/>
      <c r="H488" s="244"/>
      <c r="K488" s="244"/>
      <c r="O488" s="246"/>
    </row>
    <row r="489" spans="1:15" s="278" customFormat="1" ht="15.75" customHeight="1" x14ac:dyDescent="0.2">
      <c r="A489" s="246"/>
      <c r="B489" s="246"/>
      <c r="C489" s="246"/>
      <c r="D489" s="244"/>
      <c r="H489" s="244"/>
      <c r="K489" s="244"/>
      <c r="O489" s="246"/>
    </row>
    <row r="490" spans="1:15" s="278" customFormat="1" ht="15.75" customHeight="1" x14ac:dyDescent="0.2">
      <c r="A490" s="246"/>
      <c r="B490" s="246"/>
      <c r="C490" s="246"/>
      <c r="D490" s="244"/>
      <c r="H490" s="244"/>
      <c r="K490" s="244"/>
      <c r="O490" s="246"/>
    </row>
    <row r="491" spans="1:15" s="278" customFormat="1" ht="15.75" customHeight="1" x14ac:dyDescent="0.2">
      <c r="A491" s="246"/>
      <c r="B491" s="246"/>
      <c r="C491" s="246"/>
      <c r="D491" s="244"/>
      <c r="H491" s="244"/>
      <c r="K491" s="244"/>
      <c r="O491" s="246"/>
    </row>
    <row r="492" spans="1:15" s="278" customFormat="1" ht="15.75" customHeight="1" x14ac:dyDescent="0.2">
      <c r="A492" s="246"/>
      <c r="B492" s="246"/>
      <c r="C492" s="246"/>
      <c r="D492" s="244"/>
      <c r="H492" s="244"/>
      <c r="K492" s="244"/>
      <c r="O492" s="246"/>
    </row>
    <row r="493" spans="1:15" s="278" customFormat="1" ht="15.75" customHeight="1" x14ac:dyDescent="0.2">
      <c r="A493" s="246"/>
      <c r="B493" s="246"/>
      <c r="C493" s="246"/>
      <c r="D493" s="244"/>
      <c r="H493" s="244"/>
      <c r="K493" s="244"/>
      <c r="O493" s="246"/>
    </row>
    <row r="494" spans="1:15" s="278" customFormat="1" ht="15.75" customHeight="1" x14ac:dyDescent="0.2">
      <c r="A494" s="246"/>
      <c r="B494" s="246"/>
      <c r="C494" s="246"/>
      <c r="D494" s="244"/>
      <c r="H494" s="244"/>
      <c r="K494" s="244"/>
      <c r="O494" s="246"/>
    </row>
    <row r="495" spans="1:15" s="278" customFormat="1" ht="15.75" customHeight="1" x14ac:dyDescent="0.2">
      <c r="A495" s="246"/>
      <c r="B495" s="246"/>
      <c r="C495" s="246"/>
      <c r="D495" s="244"/>
      <c r="H495" s="244"/>
      <c r="K495" s="244"/>
      <c r="O495" s="246"/>
    </row>
    <row r="496" spans="1:15" s="278" customFormat="1" ht="15.75" customHeight="1" x14ac:dyDescent="0.2">
      <c r="A496" s="246"/>
      <c r="B496" s="246"/>
      <c r="C496" s="246"/>
      <c r="D496" s="244"/>
      <c r="H496" s="244"/>
      <c r="K496" s="244"/>
      <c r="O496" s="246"/>
    </row>
    <row r="497" spans="1:15" s="278" customFormat="1" ht="15.75" customHeight="1" x14ac:dyDescent="0.2">
      <c r="A497" s="246"/>
      <c r="B497" s="246"/>
      <c r="C497" s="246"/>
      <c r="D497" s="244"/>
      <c r="H497" s="244"/>
      <c r="K497" s="244"/>
      <c r="O497" s="246"/>
    </row>
    <row r="498" spans="1:15" s="278" customFormat="1" ht="15.75" customHeight="1" x14ac:dyDescent="0.2">
      <c r="A498" s="246"/>
      <c r="B498" s="246"/>
      <c r="C498" s="246"/>
      <c r="D498" s="244"/>
      <c r="H498" s="244"/>
      <c r="K498" s="244"/>
      <c r="O498" s="246"/>
    </row>
    <row r="499" spans="1:15" s="278" customFormat="1" ht="15.75" customHeight="1" x14ac:dyDescent="0.2">
      <c r="A499" s="246"/>
      <c r="B499" s="246"/>
      <c r="C499" s="246"/>
      <c r="D499" s="244"/>
      <c r="H499" s="244"/>
      <c r="K499" s="244"/>
      <c r="O499" s="246"/>
    </row>
    <row r="500" spans="1:15" s="278" customFormat="1" ht="15.75" customHeight="1" x14ac:dyDescent="0.2">
      <c r="A500" s="246"/>
      <c r="B500" s="246"/>
      <c r="C500" s="246"/>
      <c r="D500" s="244"/>
      <c r="H500" s="244"/>
      <c r="K500" s="244"/>
      <c r="O500" s="246"/>
    </row>
    <row r="501" spans="1:15" s="278" customFormat="1" ht="15.75" customHeight="1" x14ac:dyDescent="0.2">
      <c r="A501" s="246"/>
      <c r="B501" s="246"/>
      <c r="C501" s="246"/>
      <c r="D501" s="244"/>
      <c r="H501" s="244"/>
      <c r="K501" s="244"/>
      <c r="O501" s="246"/>
    </row>
    <row r="502" spans="1:15" s="278" customFormat="1" ht="15.75" customHeight="1" x14ac:dyDescent="0.2">
      <c r="A502" s="246"/>
      <c r="B502" s="246"/>
      <c r="C502" s="246"/>
      <c r="D502" s="244"/>
      <c r="H502" s="244"/>
      <c r="K502" s="244"/>
      <c r="O502" s="246"/>
    </row>
    <row r="503" spans="1:15" s="278" customFormat="1" ht="15.75" customHeight="1" x14ac:dyDescent="0.2">
      <c r="A503" s="246"/>
      <c r="B503" s="246"/>
      <c r="C503" s="246"/>
      <c r="D503" s="244"/>
      <c r="H503" s="244"/>
      <c r="K503" s="244"/>
      <c r="O503" s="246"/>
    </row>
    <row r="504" spans="1:15" s="278" customFormat="1" ht="15.75" customHeight="1" x14ac:dyDescent="0.2">
      <c r="A504" s="246"/>
      <c r="B504" s="246"/>
      <c r="C504" s="246"/>
      <c r="D504" s="244"/>
      <c r="H504" s="244"/>
      <c r="K504" s="244"/>
      <c r="O504" s="246"/>
    </row>
    <row r="505" spans="1:15" s="278" customFormat="1" ht="15.75" customHeight="1" x14ac:dyDescent="0.2">
      <c r="A505" s="246"/>
      <c r="B505" s="246"/>
      <c r="C505" s="246"/>
      <c r="D505" s="244"/>
      <c r="H505" s="244"/>
      <c r="K505" s="244"/>
      <c r="O505" s="246"/>
    </row>
    <row r="506" spans="1:15" s="278" customFormat="1" ht="15.75" customHeight="1" x14ac:dyDescent="0.2">
      <c r="A506" s="246"/>
      <c r="B506" s="246"/>
      <c r="C506" s="246"/>
      <c r="D506" s="244"/>
      <c r="H506" s="244"/>
      <c r="K506" s="244"/>
      <c r="O506" s="246"/>
    </row>
    <row r="507" spans="1:15" s="278" customFormat="1" ht="15.75" customHeight="1" x14ac:dyDescent="0.2">
      <c r="A507" s="246"/>
      <c r="B507" s="246"/>
      <c r="C507" s="246"/>
      <c r="D507" s="244"/>
      <c r="H507" s="244"/>
      <c r="K507" s="244"/>
      <c r="O507" s="246"/>
    </row>
    <row r="508" spans="1:15" s="278" customFormat="1" ht="15.75" customHeight="1" x14ac:dyDescent="0.2">
      <c r="A508" s="246"/>
      <c r="B508" s="246"/>
      <c r="C508" s="246"/>
      <c r="D508" s="244"/>
      <c r="H508" s="244"/>
      <c r="K508" s="244"/>
      <c r="O508" s="246"/>
    </row>
    <row r="509" spans="1:15" s="278" customFormat="1" ht="15.75" customHeight="1" x14ac:dyDescent="0.2">
      <c r="A509" s="246"/>
      <c r="B509" s="246"/>
      <c r="C509" s="246"/>
      <c r="D509" s="244"/>
      <c r="H509" s="244"/>
      <c r="K509" s="244"/>
      <c r="O509" s="246"/>
    </row>
    <row r="510" spans="1:15" s="278" customFormat="1" ht="15.75" customHeight="1" x14ac:dyDescent="0.2">
      <c r="A510" s="246"/>
      <c r="B510" s="246"/>
      <c r="C510" s="246"/>
      <c r="D510" s="244"/>
      <c r="H510" s="244"/>
      <c r="K510" s="244"/>
      <c r="O510" s="246"/>
    </row>
    <row r="511" spans="1:15" s="278" customFormat="1" ht="15.75" customHeight="1" x14ac:dyDescent="0.2">
      <c r="A511" s="246"/>
      <c r="B511" s="246"/>
      <c r="C511" s="246"/>
      <c r="D511" s="244"/>
      <c r="H511" s="244"/>
      <c r="K511" s="244"/>
      <c r="O511" s="246"/>
    </row>
    <row r="512" spans="1:15" s="278" customFormat="1" ht="15.75" customHeight="1" x14ac:dyDescent="0.2">
      <c r="A512" s="246"/>
      <c r="B512" s="246"/>
      <c r="C512" s="246"/>
      <c r="D512" s="244"/>
      <c r="H512" s="244"/>
      <c r="K512" s="244"/>
      <c r="O512" s="246"/>
    </row>
    <row r="513" spans="1:15" s="278" customFormat="1" ht="15.75" customHeight="1" x14ac:dyDescent="0.2">
      <c r="A513" s="246"/>
      <c r="B513" s="246"/>
      <c r="C513" s="246"/>
      <c r="D513" s="244"/>
      <c r="H513" s="244"/>
      <c r="K513" s="244"/>
      <c r="O513" s="246"/>
    </row>
    <row r="514" spans="1:15" s="278" customFormat="1" ht="15.75" customHeight="1" x14ac:dyDescent="0.2">
      <c r="A514" s="246"/>
      <c r="B514" s="246"/>
      <c r="C514" s="246"/>
      <c r="D514" s="244"/>
      <c r="H514" s="244"/>
      <c r="K514" s="244"/>
      <c r="O514" s="246"/>
    </row>
    <row r="515" spans="1:15" s="278" customFormat="1" ht="15.75" customHeight="1" x14ac:dyDescent="0.2">
      <c r="A515" s="246"/>
      <c r="B515" s="246"/>
      <c r="C515" s="246"/>
      <c r="D515" s="244"/>
      <c r="H515" s="244"/>
      <c r="K515" s="244"/>
      <c r="O515" s="246"/>
    </row>
    <row r="516" spans="1:15" s="278" customFormat="1" ht="15.75" customHeight="1" x14ac:dyDescent="0.2">
      <c r="A516" s="246"/>
      <c r="B516" s="246"/>
      <c r="C516" s="246"/>
      <c r="D516" s="244"/>
      <c r="H516" s="244"/>
      <c r="K516" s="244"/>
      <c r="O516" s="246"/>
    </row>
    <row r="517" spans="1:15" s="278" customFormat="1" ht="15.75" customHeight="1" x14ac:dyDescent="0.2">
      <c r="A517" s="246"/>
      <c r="B517" s="246"/>
      <c r="C517" s="246"/>
      <c r="D517" s="244"/>
      <c r="H517" s="244"/>
      <c r="K517" s="244"/>
      <c r="O517" s="246"/>
    </row>
    <row r="518" spans="1:15" s="278" customFormat="1" ht="15.75" customHeight="1" x14ac:dyDescent="0.2">
      <c r="A518" s="246"/>
      <c r="B518" s="246"/>
      <c r="C518" s="246"/>
      <c r="D518" s="244"/>
      <c r="H518" s="244"/>
      <c r="K518" s="244"/>
      <c r="O518" s="246"/>
    </row>
    <row r="519" spans="1:15" s="278" customFormat="1" ht="15.75" customHeight="1" x14ac:dyDescent="0.2">
      <c r="A519" s="246"/>
      <c r="B519" s="246"/>
      <c r="C519" s="246"/>
      <c r="D519" s="244"/>
      <c r="H519" s="244"/>
      <c r="K519" s="244"/>
      <c r="O519" s="246"/>
    </row>
    <row r="520" spans="1:15" s="278" customFormat="1" ht="15.75" customHeight="1" x14ac:dyDescent="0.2">
      <c r="A520" s="246"/>
      <c r="B520" s="246"/>
      <c r="C520" s="246"/>
      <c r="D520" s="244"/>
      <c r="H520" s="244"/>
      <c r="K520" s="244"/>
      <c r="O520" s="246"/>
    </row>
    <row r="521" spans="1:15" s="278" customFormat="1" ht="15.75" customHeight="1" x14ac:dyDescent="0.2">
      <c r="A521" s="246"/>
      <c r="B521" s="246"/>
      <c r="C521" s="246"/>
      <c r="D521" s="244"/>
      <c r="H521" s="244"/>
      <c r="K521" s="244"/>
      <c r="O521" s="246"/>
    </row>
    <row r="522" spans="1:15" s="278" customFormat="1" ht="15.75" customHeight="1" x14ac:dyDescent="0.2">
      <c r="A522" s="246"/>
      <c r="B522" s="246"/>
      <c r="C522" s="246"/>
      <c r="D522" s="244"/>
      <c r="H522" s="244"/>
      <c r="K522" s="244"/>
      <c r="O522" s="246"/>
    </row>
    <row r="523" spans="1:15" s="278" customFormat="1" ht="15.75" customHeight="1" x14ac:dyDescent="0.2">
      <c r="A523" s="246"/>
      <c r="B523" s="246"/>
      <c r="C523" s="246"/>
      <c r="D523" s="244"/>
      <c r="H523" s="244"/>
      <c r="K523" s="244"/>
      <c r="O523" s="246"/>
    </row>
    <row r="524" spans="1:15" s="278" customFormat="1" ht="15.75" customHeight="1" x14ac:dyDescent="0.2">
      <c r="A524" s="246"/>
      <c r="B524" s="246"/>
      <c r="C524" s="246"/>
      <c r="D524" s="244"/>
      <c r="H524" s="244"/>
      <c r="K524" s="244"/>
      <c r="O524" s="246"/>
    </row>
    <row r="525" spans="1:15" s="278" customFormat="1" ht="15.75" customHeight="1" x14ac:dyDescent="0.2">
      <c r="A525" s="246"/>
      <c r="B525" s="246"/>
      <c r="C525" s="246"/>
      <c r="D525" s="244"/>
      <c r="H525" s="244"/>
      <c r="K525" s="244"/>
      <c r="O525" s="246"/>
    </row>
    <row r="526" spans="1:15" s="278" customFormat="1" ht="15.75" customHeight="1" x14ac:dyDescent="0.2">
      <c r="A526" s="246"/>
      <c r="B526" s="246"/>
      <c r="C526" s="246"/>
      <c r="D526" s="244"/>
      <c r="H526" s="244"/>
      <c r="K526" s="244"/>
      <c r="O526" s="246"/>
    </row>
    <row r="527" spans="1:15" s="278" customFormat="1" ht="15.75" customHeight="1" x14ac:dyDescent="0.2">
      <c r="A527" s="246"/>
      <c r="B527" s="246"/>
      <c r="C527" s="246"/>
      <c r="D527" s="244"/>
      <c r="H527" s="244"/>
      <c r="K527" s="244"/>
      <c r="O527" s="246"/>
    </row>
    <row r="528" spans="1:15" s="278" customFormat="1" ht="15.75" customHeight="1" x14ac:dyDescent="0.2">
      <c r="A528" s="246"/>
      <c r="B528" s="246"/>
      <c r="C528" s="246"/>
      <c r="D528" s="244"/>
      <c r="H528" s="244"/>
      <c r="K528" s="244"/>
      <c r="O528" s="246"/>
    </row>
    <row r="529" spans="1:15" s="278" customFormat="1" ht="15.75" customHeight="1" x14ac:dyDescent="0.2">
      <c r="A529" s="246"/>
      <c r="B529" s="246"/>
      <c r="C529" s="246"/>
      <c r="D529" s="244"/>
      <c r="H529" s="244"/>
      <c r="K529" s="244"/>
      <c r="O529" s="246"/>
    </row>
    <row r="530" spans="1:15" s="278" customFormat="1" ht="15.75" customHeight="1" x14ac:dyDescent="0.2">
      <c r="A530" s="246"/>
      <c r="B530" s="246"/>
      <c r="C530" s="246"/>
      <c r="D530" s="244"/>
      <c r="H530" s="244"/>
      <c r="K530" s="244"/>
      <c r="O530" s="246"/>
    </row>
    <row r="531" spans="1:15" s="278" customFormat="1" ht="15.75" customHeight="1" x14ac:dyDescent="0.2">
      <c r="A531" s="246"/>
      <c r="B531" s="246"/>
      <c r="C531" s="246"/>
      <c r="D531" s="244"/>
      <c r="H531" s="244"/>
      <c r="K531" s="244"/>
      <c r="O531" s="246"/>
    </row>
    <row r="532" spans="1:15" s="278" customFormat="1" ht="15.75" customHeight="1" x14ac:dyDescent="0.2">
      <c r="A532" s="246"/>
      <c r="B532" s="246"/>
      <c r="C532" s="246"/>
      <c r="D532" s="244"/>
      <c r="H532" s="244"/>
      <c r="K532" s="244"/>
      <c r="O532" s="246"/>
    </row>
    <row r="533" spans="1:15" s="278" customFormat="1" ht="15.75" customHeight="1" x14ac:dyDescent="0.2">
      <c r="A533" s="246"/>
      <c r="B533" s="246"/>
      <c r="C533" s="246"/>
      <c r="D533" s="244"/>
      <c r="H533" s="244"/>
      <c r="K533" s="244"/>
      <c r="O533" s="246"/>
    </row>
    <row r="534" spans="1:15" s="278" customFormat="1" ht="15.75" customHeight="1" x14ac:dyDescent="0.2">
      <c r="A534" s="246"/>
      <c r="B534" s="246"/>
      <c r="C534" s="246"/>
      <c r="D534" s="244"/>
      <c r="H534" s="244"/>
      <c r="K534" s="244"/>
      <c r="O534" s="246"/>
    </row>
    <row r="535" spans="1:15" s="278" customFormat="1" ht="15.75" customHeight="1" x14ac:dyDescent="0.2">
      <c r="A535" s="246"/>
      <c r="B535" s="246"/>
      <c r="C535" s="246"/>
      <c r="D535" s="244"/>
      <c r="H535" s="244"/>
      <c r="K535" s="244"/>
      <c r="O535" s="246"/>
    </row>
    <row r="536" spans="1:15" s="278" customFormat="1" ht="15.75" customHeight="1" x14ac:dyDescent="0.2">
      <c r="A536" s="246"/>
      <c r="B536" s="246"/>
      <c r="C536" s="246"/>
      <c r="D536" s="244"/>
      <c r="H536" s="244"/>
      <c r="K536" s="244"/>
      <c r="O536" s="246"/>
    </row>
    <row r="537" spans="1:15" s="278" customFormat="1" ht="15.75" customHeight="1" x14ac:dyDescent="0.2">
      <c r="A537" s="246"/>
      <c r="B537" s="246"/>
      <c r="C537" s="246"/>
      <c r="D537" s="244"/>
      <c r="H537" s="244"/>
      <c r="K537" s="244"/>
      <c r="O537" s="246"/>
    </row>
    <row r="538" spans="1:15" s="278" customFormat="1" ht="15.75" customHeight="1" x14ac:dyDescent="0.2">
      <c r="A538" s="246"/>
      <c r="B538" s="246"/>
      <c r="C538" s="246"/>
      <c r="D538" s="244"/>
      <c r="H538" s="244"/>
      <c r="K538" s="244"/>
      <c r="O538" s="246"/>
    </row>
    <row r="539" spans="1:15" s="278" customFormat="1" ht="15.75" customHeight="1" x14ac:dyDescent="0.2">
      <c r="A539" s="246"/>
      <c r="B539" s="246"/>
      <c r="C539" s="246"/>
      <c r="D539" s="244"/>
      <c r="H539" s="244"/>
      <c r="K539" s="244"/>
      <c r="O539" s="246"/>
    </row>
    <row r="540" spans="1:15" s="278" customFormat="1" ht="15.75" customHeight="1" x14ac:dyDescent="0.2">
      <c r="A540" s="246"/>
      <c r="B540" s="246"/>
      <c r="C540" s="246"/>
      <c r="D540" s="244"/>
      <c r="H540" s="244"/>
      <c r="K540" s="244"/>
      <c r="O540" s="246"/>
    </row>
    <row r="541" spans="1:15" s="278" customFormat="1" ht="15.75" customHeight="1" x14ac:dyDescent="0.2">
      <c r="A541" s="246"/>
      <c r="B541" s="246"/>
      <c r="C541" s="246"/>
      <c r="D541" s="244"/>
      <c r="H541" s="244"/>
      <c r="K541" s="244"/>
      <c r="O541" s="246"/>
    </row>
    <row r="542" spans="1:15" s="278" customFormat="1" ht="15.75" customHeight="1" x14ac:dyDescent="0.2">
      <c r="A542" s="246"/>
      <c r="B542" s="246"/>
      <c r="C542" s="246"/>
      <c r="D542" s="244"/>
      <c r="H542" s="244"/>
      <c r="K542" s="244"/>
      <c r="O542" s="246"/>
    </row>
    <row r="543" spans="1:15" s="278" customFormat="1" ht="15.75" customHeight="1" x14ac:dyDescent="0.2">
      <c r="A543" s="246"/>
      <c r="B543" s="246"/>
      <c r="C543" s="246"/>
      <c r="D543" s="244"/>
      <c r="H543" s="244"/>
      <c r="K543" s="244"/>
      <c r="O543" s="246"/>
    </row>
    <row r="544" spans="1:15" s="278" customFormat="1" ht="15.75" customHeight="1" x14ac:dyDescent="0.2">
      <c r="A544" s="246"/>
      <c r="B544" s="246"/>
      <c r="C544" s="246"/>
      <c r="D544" s="244"/>
      <c r="H544" s="244"/>
      <c r="K544" s="244"/>
      <c r="O544" s="246"/>
    </row>
    <row r="545" spans="2:3" ht="15.75" customHeight="1" x14ac:dyDescent="0.2">
      <c r="B545" s="240"/>
      <c r="C545" s="240"/>
    </row>
    <row r="546" spans="2:3" ht="15.75" customHeight="1" x14ac:dyDescent="0.2">
      <c r="B546" s="240"/>
      <c r="C546" s="240"/>
    </row>
    <row r="547" spans="2:3" ht="15.75" customHeight="1" x14ac:dyDescent="0.2">
      <c r="B547" s="240"/>
      <c r="C547" s="240"/>
    </row>
    <row r="548" spans="2:3" ht="15.75" customHeight="1" x14ac:dyDescent="0.2">
      <c r="B548" s="240"/>
      <c r="C548" s="240"/>
    </row>
    <row r="549" spans="2:3" ht="15.75" customHeight="1" x14ac:dyDescent="0.2">
      <c r="B549" s="240"/>
      <c r="C549" s="240"/>
    </row>
    <row r="550" spans="2:3" ht="15.75" customHeight="1" x14ac:dyDescent="0.2">
      <c r="B550" s="240"/>
      <c r="C550" s="240"/>
    </row>
    <row r="551" spans="2:3" ht="15.75" customHeight="1" x14ac:dyDescent="0.2">
      <c r="B551" s="240"/>
      <c r="C551" s="240"/>
    </row>
    <row r="552" spans="2:3" ht="15.75" customHeight="1" x14ac:dyDescent="0.2">
      <c r="B552" s="240"/>
      <c r="C552" s="240"/>
    </row>
    <row r="553" spans="2:3" ht="15.75" customHeight="1" x14ac:dyDescent="0.2">
      <c r="B553" s="240"/>
      <c r="C553" s="240"/>
    </row>
    <row r="554" spans="2:3" ht="15.75" customHeight="1" x14ac:dyDescent="0.2">
      <c r="B554" s="240"/>
      <c r="C554" s="240"/>
    </row>
    <row r="555" spans="2:3" ht="15.75" customHeight="1" x14ac:dyDescent="0.2">
      <c r="B555" s="240"/>
      <c r="C555" s="240"/>
    </row>
    <row r="556" spans="2:3" ht="15.75" customHeight="1" x14ac:dyDescent="0.2">
      <c r="B556" s="240"/>
      <c r="C556" s="240"/>
    </row>
    <row r="557" spans="2:3" ht="15.75" customHeight="1" x14ac:dyDescent="0.2">
      <c r="B557" s="240"/>
      <c r="C557" s="240"/>
    </row>
    <row r="558" spans="2:3" ht="15.75" customHeight="1" x14ac:dyDescent="0.2">
      <c r="B558" s="240"/>
      <c r="C558" s="240"/>
    </row>
    <row r="559" spans="2:3" ht="15.75" customHeight="1" x14ac:dyDescent="0.2">
      <c r="B559" s="240"/>
      <c r="C559" s="240"/>
    </row>
    <row r="560" spans="2:3" ht="15.75" customHeight="1" x14ac:dyDescent="0.2">
      <c r="B560" s="240"/>
      <c r="C560" s="240"/>
    </row>
    <row r="561" spans="2:3" ht="15.75" customHeight="1" x14ac:dyDescent="0.2">
      <c r="B561" s="240"/>
      <c r="C561" s="240"/>
    </row>
    <row r="562" spans="2:3" ht="15.75" customHeight="1" x14ac:dyDescent="0.2">
      <c r="B562" s="240"/>
      <c r="C562" s="240"/>
    </row>
    <row r="563" spans="2:3" ht="15.75" customHeight="1" x14ac:dyDescent="0.2">
      <c r="B563" s="240"/>
      <c r="C563" s="240"/>
    </row>
    <row r="564" spans="2:3" ht="15.75" customHeight="1" x14ac:dyDescent="0.2">
      <c r="B564" s="240"/>
      <c r="C564" s="240"/>
    </row>
    <row r="565" spans="2:3" ht="15.75" customHeight="1" x14ac:dyDescent="0.2">
      <c r="B565" s="240"/>
      <c r="C565" s="240"/>
    </row>
    <row r="566" spans="2:3" ht="15.75" customHeight="1" x14ac:dyDescent="0.2">
      <c r="B566" s="240"/>
      <c r="C566" s="240"/>
    </row>
    <row r="567" spans="2:3" ht="15.75" customHeight="1" x14ac:dyDescent="0.2">
      <c r="B567" s="240"/>
      <c r="C567" s="240"/>
    </row>
    <row r="568" spans="2:3" ht="15.75" customHeight="1" x14ac:dyDescent="0.2">
      <c r="B568" s="240"/>
      <c r="C568" s="240"/>
    </row>
    <row r="569" spans="2:3" ht="15.75" customHeight="1" x14ac:dyDescent="0.2">
      <c r="B569" s="240"/>
      <c r="C569" s="240"/>
    </row>
    <row r="570" spans="2:3" ht="15.75" customHeight="1" x14ac:dyDescent="0.2">
      <c r="B570" s="240"/>
      <c r="C570" s="240"/>
    </row>
    <row r="571" spans="2:3" ht="15.75" customHeight="1" x14ac:dyDescent="0.2">
      <c r="B571" s="240"/>
      <c r="C571" s="240"/>
    </row>
    <row r="572" spans="2:3" ht="15.75" customHeight="1" x14ac:dyDescent="0.2">
      <c r="B572" s="240"/>
      <c r="C572" s="240"/>
    </row>
    <row r="573" spans="2:3" ht="15.75" customHeight="1" x14ac:dyDescent="0.2">
      <c r="B573" s="240"/>
      <c r="C573" s="240"/>
    </row>
    <row r="574" spans="2:3" ht="15.75" customHeight="1" x14ac:dyDescent="0.2">
      <c r="B574" s="240"/>
      <c r="C574" s="240"/>
    </row>
    <row r="575" spans="2:3" ht="15.75" customHeight="1" x14ac:dyDescent="0.2">
      <c r="B575" s="240"/>
      <c r="C575" s="240"/>
    </row>
    <row r="576" spans="2:3" ht="15.75" customHeight="1" x14ac:dyDescent="0.2">
      <c r="B576" s="240"/>
      <c r="C576" s="240"/>
    </row>
    <row r="577" spans="2:3" ht="15.75" customHeight="1" x14ac:dyDescent="0.2">
      <c r="B577" s="240"/>
      <c r="C577" s="240"/>
    </row>
    <row r="578" spans="2:3" ht="15.75" customHeight="1" x14ac:dyDescent="0.2">
      <c r="B578" s="240"/>
      <c r="C578" s="240"/>
    </row>
    <row r="579" spans="2:3" ht="15.75" customHeight="1" x14ac:dyDescent="0.2">
      <c r="B579" s="240"/>
      <c r="C579" s="240"/>
    </row>
    <row r="580" spans="2:3" ht="15.75" customHeight="1" x14ac:dyDescent="0.2">
      <c r="B580" s="240"/>
      <c r="C580" s="240"/>
    </row>
    <row r="581" spans="2:3" ht="15.75" customHeight="1" x14ac:dyDescent="0.2">
      <c r="B581" s="240"/>
      <c r="C581" s="240"/>
    </row>
    <row r="582" spans="2:3" ht="15.75" customHeight="1" x14ac:dyDescent="0.2">
      <c r="B582" s="240"/>
      <c r="C582" s="240"/>
    </row>
    <row r="583" spans="2:3" ht="15.75" customHeight="1" x14ac:dyDescent="0.2">
      <c r="B583" s="240"/>
      <c r="C583" s="240"/>
    </row>
    <row r="584" spans="2:3" ht="15.75" customHeight="1" x14ac:dyDescent="0.2">
      <c r="B584" s="240"/>
      <c r="C584" s="240"/>
    </row>
    <row r="585" spans="2:3" ht="15.75" customHeight="1" x14ac:dyDescent="0.2">
      <c r="B585" s="240"/>
      <c r="C585" s="240"/>
    </row>
    <row r="586" spans="2:3" ht="15.75" customHeight="1" x14ac:dyDescent="0.2">
      <c r="B586" s="240"/>
      <c r="C586" s="240"/>
    </row>
    <row r="587" spans="2:3" ht="15.75" customHeight="1" x14ac:dyDescent="0.2">
      <c r="B587" s="240"/>
      <c r="C587" s="240"/>
    </row>
    <row r="588" spans="2:3" ht="15.75" customHeight="1" x14ac:dyDescent="0.2">
      <c r="B588" s="240"/>
      <c r="C588" s="240"/>
    </row>
    <row r="589" spans="2:3" ht="15.75" customHeight="1" x14ac:dyDescent="0.2">
      <c r="B589" s="240"/>
      <c r="C589" s="240"/>
    </row>
    <row r="590" spans="2:3" ht="15.75" customHeight="1" x14ac:dyDescent="0.2">
      <c r="B590" s="240"/>
      <c r="C590" s="240"/>
    </row>
    <row r="591" spans="2:3" ht="15.75" customHeight="1" x14ac:dyDescent="0.2">
      <c r="B591" s="240"/>
      <c r="C591" s="240"/>
    </row>
    <row r="592" spans="2:3" ht="15.75" customHeight="1" x14ac:dyDescent="0.2">
      <c r="B592" s="240"/>
      <c r="C592" s="240"/>
    </row>
    <row r="593" spans="2:3" ht="15.75" customHeight="1" x14ac:dyDescent="0.2">
      <c r="B593" s="240"/>
      <c r="C593" s="240"/>
    </row>
    <row r="594" spans="2:3" ht="15.75" customHeight="1" x14ac:dyDescent="0.2">
      <c r="B594" s="240"/>
      <c r="C594" s="240"/>
    </row>
    <row r="595" spans="2:3" ht="15.75" customHeight="1" x14ac:dyDescent="0.2">
      <c r="B595" s="240"/>
      <c r="C595" s="240"/>
    </row>
    <row r="596" spans="2:3" ht="15.75" customHeight="1" x14ac:dyDescent="0.2">
      <c r="B596" s="240"/>
      <c r="C596" s="240"/>
    </row>
    <row r="597" spans="2:3" ht="15.75" customHeight="1" x14ac:dyDescent="0.2">
      <c r="B597" s="240"/>
      <c r="C597" s="240"/>
    </row>
    <row r="598" spans="2:3" ht="15.75" customHeight="1" x14ac:dyDescent="0.2">
      <c r="B598" s="240"/>
      <c r="C598" s="240"/>
    </row>
    <row r="599" spans="2:3" ht="15.75" customHeight="1" x14ac:dyDescent="0.2">
      <c r="B599" s="240"/>
      <c r="C599" s="240"/>
    </row>
    <row r="600" spans="2:3" ht="15.75" customHeight="1" x14ac:dyDescent="0.2">
      <c r="B600" s="240"/>
      <c r="C600" s="240"/>
    </row>
    <row r="601" spans="2:3" ht="15.75" customHeight="1" x14ac:dyDescent="0.2">
      <c r="B601" s="240"/>
      <c r="C601" s="240"/>
    </row>
    <row r="602" spans="2:3" ht="15.75" customHeight="1" x14ac:dyDescent="0.2">
      <c r="B602" s="240"/>
      <c r="C602" s="240"/>
    </row>
    <row r="603" spans="2:3" ht="15.75" customHeight="1" x14ac:dyDescent="0.2">
      <c r="B603" s="240"/>
      <c r="C603" s="240"/>
    </row>
    <row r="604" spans="2:3" ht="15.75" customHeight="1" x14ac:dyDescent="0.2">
      <c r="B604" s="240"/>
      <c r="C604" s="240"/>
    </row>
    <row r="605" spans="2:3" ht="15.75" customHeight="1" x14ac:dyDescent="0.2">
      <c r="B605" s="240"/>
      <c r="C605" s="240"/>
    </row>
    <row r="606" spans="2:3" ht="15.75" customHeight="1" x14ac:dyDescent="0.2">
      <c r="B606" s="240"/>
      <c r="C606" s="240"/>
    </row>
    <row r="607" spans="2:3" ht="15.75" customHeight="1" x14ac:dyDescent="0.2">
      <c r="B607" s="240"/>
      <c r="C607" s="240"/>
    </row>
    <row r="608" spans="2:3" ht="15.75" customHeight="1" x14ac:dyDescent="0.2">
      <c r="B608" s="240"/>
      <c r="C608" s="240"/>
    </row>
    <row r="609" spans="2:3" ht="15.75" customHeight="1" x14ac:dyDescent="0.2">
      <c r="B609" s="240"/>
      <c r="C609" s="240"/>
    </row>
    <row r="610" spans="2:3" ht="15.75" customHeight="1" x14ac:dyDescent="0.2">
      <c r="B610" s="240"/>
      <c r="C610" s="240"/>
    </row>
    <row r="611" spans="2:3" ht="15.75" customHeight="1" x14ac:dyDescent="0.2">
      <c r="B611" s="240"/>
      <c r="C611" s="240"/>
    </row>
    <row r="612" spans="2:3" ht="15.75" customHeight="1" x14ac:dyDescent="0.2">
      <c r="B612" s="240"/>
      <c r="C612" s="240"/>
    </row>
    <row r="613" spans="2:3" ht="15.75" customHeight="1" x14ac:dyDescent="0.2">
      <c r="B613" s="240"/>
      <c r="C613" s="240"/>
    </row>
    <row r="614" spans="2:3" ht="15.75" customHeight="1" x14ac:dyDescent="0.2">
      <c r="B614" s="240"/>
      <c r="C614" s="240"/>
    </row>
    <row r="615" spans="2:3" ht="15.75" customHeight="1" x14ac:dyDescent="0.2">
      <c r="B615" s="240"/>
      <c r="C615" s="240"/>
    </row>
    <row r="616" spans="2:3" ht="15.75" customHeight="1" x14ac:dyDescent="0.2">
      <c r="B616" s="240"/>
      <c r="C616" s="240"/>
    </row>
    <row r="617" spans="2:3" ht="15.75" customHeight="1" x14ac:dyDescent="0.2">
      <c r="B617" s="240"/>
      <c r="C617" s="240"/>
    </row>
    <row r="618" spans="2:3" ht="15.75" customHeight="1" x14ac:dyDescent="0.2">
      <c r="B618" s="240"/>
      <c r="C618" s="240"/>
    </row>
    <row r="619" spans="2:3" ht="15.75" customHeight="1" x14ac:dyDescent="0.2">
      <c r="B619" s="240"/>
      <c r="C619" s="240"/>
    </row>
    <row r="620" spans="2:3" ht="15.75" customHeight="1" x14ac:dyDescent="0.2">
      <c r="B620" s="240"/>
      <c r="C620" s="240"/>
    </row>
    <row r="621" spans="2:3" ht="15.75" customHeight="1" x14ac:dyDescent="0.2">
      <c r="B621" s="240"/>
      <c r="C621" s="240"/>
    </row>
    <row r="622" spans="2:3" ht="15.75" customHeight="1" x14ac:dyDescent="0.2">
      <c r="B622" s="240"/>
      <c r="C622" s="240"/>
    </row>
    <row r="623" spans="2:3" ht="15.75" customHeight="1" x14ac:dyDescent="0.2">
      <c r="B623" s="240"/>
      <c r="C623" s="240"/>
    </row>
    <row r="624" spans="2:3" ht="15.75" customHeight="1" x14ac:dyDescent="0.2">
      <c r="B624" s="240"/>
      <c r="C624" s="240"/>
    </row>
    <row r="625" spans="2:3" ht="15.75" customHeight="1" x14ac:dyDescent="0.2">
      <c r="B625" s="240"/>
      <c r="C625" s="240"/>
    </row>
    <row r="626" spans="2:3" ht="15.75" customHeight="1" x14ac:dyDescent="0.2">
      <c r="B626" s="240"/>
      <c r="C626" s="240"/>
    </row>
    <row r="627" spans="2:3" ht="15.75" customHeight="1" x14ac:dyDescent="0.2">
      <c r="B627" s="240"/>
      <c r="C627" s="240"/>
    </row>
    <row r="628" spans="2:3" ht="15.75" customHeight="1" x14ac:dyDescent="0.2">
      <c r="B628" s="240"/>
      <c r="C628" s="240"/>
    </row>
    <row r="629" spans="2:3" ht="15.75" customHeight="1" x14ac:dyDescent="0.2">
      <c r="B629" s="240"/>
      <c r="C629" s="240"/>
    </row>
    <row r="630" spans="2:3" ht="15.75" customHeight="1" x14ac:dyDescent="0.2">
      <c r="B630" s="240"/>
      <c r="C630" s="240"/>
    </row>
    <row r="631" spans="2:3" ht="15.75" customHeight="1" x14ac:dyDescent="0.2">
      <c r="B631" s="240"/>
      <c r="C631" s="240"/>
    </row>
    <row r="632" spans="2:3" ht="15.75" customHeight="1" x14ac:dyDescent="0.2">
      <c r="B632" s="240"/>
      <c r="C632" s="240"/>
    </row>
    <row r="633" spans="2:3" ht="15.75" customHeight="1" x14ac:dyDescent="0.2">
      <c r="B633" s="240"/>
      <c r="C633" s="240"/>
    </row>
    <row r="634" spans="2:3" ht="15.75" customHeight="1" x14ac:dyDescent="0.2">
      <c r="B634" s="240"/>
      <c r="C634" s="240"/>
    </row>
    <row r="635" spans="2:3" ht="15.75" customHeight="1" x14ac:dyDescent="0.2">
      <c r="B635" s="240"/>
      <c r="C635" s="240"/>
    </row>
    <row r="636" spans="2:3" ht="15.75" customHeight="1" x14ac:dyDescent="0.2">
      <c r="B636" s="240"/>
      <c r="C636" s="240"/>
    </row>
    <row r="637" spans="2:3" ht="15.75" customHeight="1" x14ac:dyDescent="0.2">
      <c r="B637" s="240"/>
      <c r="C637" s="240"/>
    </row>
    <row r="638" spans="2:3" ht="15.75" customHeight="1" x14ac:dyDescent="0.2">
      <c r="B638" s="240"/>
      <c r="C638" s="240"/>
    </row>
    <row r="639" spans="2:3" ht="15.75" customHeight="1" x14ac:dyDescent="0.2">
      <c r="B639" s="240"/>
      <c r="C639" s="240"/>
    </row>
    <row r="640" spans="2:3" ht="15.75" customHeight="1" x14ac:dyDescent="0.2">
      <c r="B640" s="240"/>
      <c r="C640" s="240"/>
    </row>
    <row r="641" spans="2:3" ht="15.75" customHeight="1" x14ac:dyDescent="0.2">
      <c r="B641" s="240"/>
      <c r="C641" s="240"/>
    </row>
    <row r="642" spans="2:3" ht="15.75" customHeight="1" x14ac:dyDescent="0.2">
      <c r="B642" s="240"/>
      <c r="C642" s="240"/>
    </row>
    <row r="643" spans="2:3" ht="15.75" customHeight="1" x14ac:dyDescent="0.2">
      <c r="B643" s="240"/>
      <c r="C643" s="240"/>
    </row>
    <row r="644" spans="2:3" ht="15.75" customHeight="1" x14ac:dyDescent="0.2">
      <c r="B644" s="240"/>
      <c r="C644" s="240"/>
    </row>
    <row r="645" spans="2:3" ht="15.75" customHeight="1" x14ac:dyDescent="0.2">
      <c r="B645" s="240"/>
      <c r="C645" s="240"/>
    </row>
    <row r="646" spans="2:3" ht="15.75" customHeight="1" x14ac:dyDescent="0.2">
      <c r="B646" s="240"/>
      <c r="C646" s="240"/>
    </row>
    <row r="647" spans="2:3" ht="15.75" customHeight="1" x14ac:dyDescent="0.2">
      <c r="B647" s="240"/>
      <c r="C647" s="240"/>
    </row>
    <row r="648" spans="2:3" ht="15.75" customHeight="1" x14ac:dyDescent="0.2">
      <c r="B648" s="240"/>
      <c r="C648" s="240"/>
    </row>
    <row r="649" spans="2:3" ht="15.75" customHeight="1" x14ac:dyDescent="0.2">
      <c r="B649" s="240"/>
      <c r="C649" s="240"/>
    </row>
    <row r="650" spans="2:3" ht="15.75" customHeight="1" x14ac:dyDescent="0.2">
      <c r="B650" s="240"/>
      <c r="C650" s="240"/>
    </row>
    <row r="651" spans="2:3" ht="15.75" customHeight="1" x14ac:dyDescent="0.2">
      <c r="B651" s="240"/>
      <c r="C651" s="240"/>
    </row>
    <row r="652" spans="2:3" ht="15.75" customHeight="1" x14ac:dyDescent="0.2">
      <c r="B652" s="240"/>
      <c r="C652" s="240"/>
    </row>
    <row r="653" spans="2:3" ht="15.75" customHeight="1" x14ac:dyDescent="0.2">
      <c r="B653" s="240"/>
      <c r="C653" s="240"/>
    </row>
    <row r="654" spans="2:3" ht="15.75" customHeight="1" x14ac:dyDescent="0.2">
      <c r="B654" s="240"/>
      <c r="C654" s="240"/>
    </row>
    <row r="655" spans="2:3" ht="15.75" customHeight="1" x14ac:dyDescent="0.2">
      <c r="B655" s="240"/>
      <c r="C655" s="240"/>
    </row>
    <row r="656" spans="2:3" ht="15.75" customHeight="1" x14ac:dyDescent="0.2">
      <c r="B656" s="240"/>
      <c r="C656" s="240"/>
    </row>
    <row r="657" spans="2:3" ht="15.75" customHeight="1" x14ac:dyDescent="0.2">
      <c r="B657" s="240"/>
      <c r="C657" s="240"/>
    </row>
    <row r="658" spans="2:3" ht="15.75" customHeight="1" x14ac:dyDescent="0.2">
      <c r="B658" s="240"/>
      <c r="C658" s="240"/>
    </row>
    <row r="659" spans="2:3" ht="15.75" customHeight="1" x14ac:dyDescent="0.2">
      <c r="B659" s="240"/>
      <c r="C659" s="240"/>
    </row>
    <row r="660" spans="2:3" ht="15.75" customHeight="1" x14ac:dyDescent="0.2">
      <c r="B660" s="240"/>
      <c r="C660" s="240"/>
    </row>
    <row r="661" spans="2:3" ht="15.75" customHeight="1" x14ac:dyDescent="0.2">
      <c r="B661" s="240"/>
      <c r="C661" s="240"/>
    </row>
    <row r="662" spans="2:3" ht="15.75" customHeight="1" x14ac:dyDescent="0.2">
      <c r="B662" s="240"/>
      <c r="C662" s="240"/>
    </row>
    <row r="663" spans="2:3" ht="15.75" customHeight="1" x14ac:dyDescent="0.2">
      <c r="B663" s="240"/>
      <c r="C663" s="240"/>
    </row>
    <row r="664" spans="2:3" ht="15.75" customHeight="1" x14ac:dyDescent="0.2">
      <c r="B664" s="240"/>
      <c r="C664" s="240"/>
    </row>
    <row r="665" spans="2:3" ht="15.75" customHeight="1" x14ac:dyDescent="0.2">
      <c r="B665" s="240"/>
      <c r="C665" s="240"/>
    </row>
    <row r="666" spans="2:3" ht="15.75" customHeight="1" x14ac:dyDescent="0.2">
      <c r="B666" s="240"/>
      <c r="C666" s="240"/>
    </row>
    <row r="667" spans="2:3" ht="15.75" customHeight="1" x14ac:dyDescent="0.2">
      <c r="B667" s="240"/>
      <c r="C667" s="240"/>
    </row>
    <row r="668" spans="2:3" ht="15.75" customHeight="1" x14ac:dyDescent="0.2">
      <c r="B668" s="240"/>
      <c r="C668" s="240"/>
    </row>
    <row r="669" spans="2:3" ht="15.75" customHeight="1" x14ac:dyDescent="0.2">
      <c r="B669" s="240"/>
      <c r="C669" s="240"/>
    </row>
    <row r="670" spans="2:3" ht="15.75" customHeight="1" x14ac:dyDescent="0.2">
      <c r="B670" s="240"/>
      <c r="C670" s="240"/>
    </row>
    <row r="671" spans="2:3" ht="15.75" customHeight="1" x14ac:dyDescent="0.2">
      <c r="B671" s="240"/>
      <c r="C671" s="240"/>
    </row>
    <row r="672" spans="2:3" ht="15.75" customHeight="1" x14ac:dyDescent="0.2">
      <c r="B672" s="240"/>
      <c r="C672" s="240"/>
    </row>
    <row r="673" spans="2:3" ht="15.75" customHeight="1" x14ac:dyDescent="0.2">
      <c r="B673" s="240"/>
      <c r="C673" s="240"/>
    </row>
    <row r="674" spans="2:3" ht="15.75" customHeight="1" x14ac:dyDescent="0.2">
      <c r="B674" s="240"/>
      <c r="C674" s="240"/>
    </row>
    <row r="675" spans="2:3" ht="15.75" customHeight="1" x14ac:dyDescent="0.2">
      <c r="B675" s="240"/>
      <c r="C675" s="240"/>
    </row>
    <row r="676" spans="2:3" ht="15.75" customHeight="1" x14ac:dyDescent="0.2">
      <c r="B676" s="240"/>
      <c r="C676" s="240"/>
    </row>
    <row r="677" spans="2:3" ht="15.75" customHeight="1" x14ac:dyDescent="0.2">
      <c r="B677" s="240"/>
      <c r="C677" s="240"/>
    </row>
    <row r="678" spans="2:3" ht="15.75" customHeight="1" x14ac:dyDescent="0.2">
      <c r="B678" s="240"/>
      <c r="C678" s="240"/>
    </row>
    <row r="679" spans="2:3" ht="15.75" customHeight="1" x14ac:dyDescent="0.2">
      <c r="B679" s="240"/>
      <c r="C679" s="240"/>
    </row>
    <row r="680" spans="2:3" ht="15.75" customHeight="1" x14ac:dyDescent="0.2">
      <c r="B680" s="240"/>
      <c r="C680" s="240"/>
    </row>
    <row r="681" spans="2:3" ht="15.75" customHeight="1" x14ac:dyDescent="0.2">
      <c r="B681" s="240"/>
      <c r="C681" s="240"/>
    </row>
    <row r="682" spans="2:3" ht="15.75" customHeight="1" x14ac:dyDescent="0.2">
      <c r="B682" s="240"/>
      <c r="C682" s="240"/>
    </row>
    <row r="683" spans="2:3" ht="15.75" customHeight="1" x14ac:dyDescent="0.2">
      <c r="B683" s="240"/>
      <c r="C683" s="240"/>
    </row>
    <row r="684" spans="2:3" ht="15.75" customHeight="1" x14ac:dyDescent="0.2">
      <c r="B684" s="240"/>
      <c r="C684" s="240"/>
    </row>
    <row r="685" spans="2:3" ht="15.75" customHeight="1" x14ac:dyDescent="0.2">
      <c r="B685" s="240"/>
      <c r="C685" s="240"/>
    </row>
    <row r="686" spans="2:3" ht="15.75" customHeight="1" x14ac:dyDescent="0.2">
      <c r="B686" s="240"/>
      <c r="C686" s="240"/>
    </row>
    <row r="687" spans="2:3" ht="15.75" customHeight="1" x14ac:dyDescent="0.2">
      <c r="B687" s="240"/>
      <c r="C687" s="240"/>
    </row>
    <row r="688" spans="2:3" ht="15.75" customHeight="1" x14ac:dyDescent="0.2">
      <c r="B688" s="240"/>
      <c r="C688" s="240"/>
    </row>
    <row r="689" spans="2:3" ht="15.75" customHeight="1" x14ac:dyDescent="0.2">
      <c r="B689" s="240"/>
      <c r="C689" s="240"/>
    </row>
    <row r="690" spans="2:3" ht="15.75" customHeight="1" x14ac:dyDescent="0.2">
      <c r="B690" s="240"/>
      <c r="C690" s="240"/>
    </row>
    <row r="691" spans="2:3" ht="15.75" customHeight="1" x14ac:dyDescent="0.2">
      <c r="B691" s="240"/>
      <c r="C691" s="240"/>
    </row>
    <row r="692" spans="2:3" ht="15.75" customHeight="1" x14ac:dyDescent="0.2">
      <c r="B692" s="240"/>
      <c r="C692" s="240"/>
    </row>
    <row r="693" spans="2:3" ht="15.75" customHeight="1" x14ac:dyDescent="0.2">
      <c r="B693" s="240"/>
      <c r="C693" s="240"/>
    </row>
    <row r="694" spans="2:3" ht="15.75" customHeight="1" x14ac:dyDescent="0.2">
      <c r="B694" s="240"/>
      <c r="C694" s="240"/>
    </row>
    <row r="695" spans="2:3" ht="15.75" customHeight="1" x14ac:dyDescent="0.2">
      <c r="B695" s="240"/>
      <c r="C695" s="240"/>
    </row>
    <row r="696" spans="2:3" ht="15.75" customHeight="1" x14ac:dyDescent="0.2">
      <c r="B696" s="240"/>
      <c r="C696" s="240"/>
    </row>
    <row r="697" spans="2:3" ht="15.75" customHeight="1" x14ac:dyDescent="0.2">
      <c r="B697" s="240"/>
      <c r="C697" s="240"/>
    </row>
    <row r="698" spans="2:3" ht="15.75" customHeight="1" x14ac:dyDescent="0.2">
      <c r="B698" s="240"/>
      <c r="C698" s="240"/>
    </row>
    <row r="699" spans="2:3" ht="15.75" customHeight="1" x14ac:dyDescent="0.2">
      <c r="B699" s="240"/>
      <c r="C699" s="240"/>
    </row>
    <row r="700" spans="2:3" ht="15.75" customHeight="1" x14ac:dyDescent="0.2">
      <c r="B700" s="240"/>
      <c r="C700" s="240"/>
    </row>
    <row r="701" spans="2:3" ht="15.75" customHeight="1" x14ac:dyDescent="0.2">
      <c r="B701" s="240"/>
      <c r="C701" s="240"/>
    </row>
    <row r="702" spans="2:3" ht="15.75" customHeight="1" x14ac:dyDescent="0.2">
      <c r="B702" s="240"/>
      <c r="C702" s="240"/>
    </row>
    <row r="703" spans="2:3" ht="15.75" customHeight="1" x14ac:dyDescent="0.2">
      <c r="B703" s="240"/>
      <c r="C703" s="240"/>
    </row>
    <row r="704" spans="2:3" ht="15.75" customHeight="1" x14ac:dyDescent="0.2">
      <c r="B704" s="240"/>
      <c r="C704" s="240"/>
    </row>
    <row r="705" spans="2:3" ht="15.75" customHeight="1" x14ac:dyDescent="0.2">
      <c r="B705" s="240"/>
      <c r="C705" s="240"/>
    </row>
    <row r="706" spans="2:3" ht="15.75" customHeight="1" x14ac:dyDescent="0.2">
      <c r="B706" s="240"/>
      <c r="C706" s="240"/>
    </row>
    <row r="707" spans="2:3" ht="15.75" customHeight="1" x14ac:dyDescent="0.2">
      <c r="B707" s="240"/>
      <c r="C707" s="240"/>
    </row>
    <row r="708" spans="2:3" ht="15.75" customHeight="1" x14ac:dyDescent="0.2">
      <c r="B708" s="240"/>
      <c r="C708" s="240"/>
    </row>
    <row r="709" spans="2:3" ht="15.75" customHeight="1" x14ac:dyDescent="0.2">
      <c r="B709" s="240"/>
      <c r="C709" s="240"/>
    </row>
    <row r="710" spans="2:3" ht="15.75" customHeight="1" x14ac:dyDescent="0.2">
      <c r="B710" s="240"/>
      <c r="C710" s="240"/>
    </row>
    <row r="711" spans="2:3" ht="15.75" customHeight="1" x14ac:dyDescent="0.2">
      <c r="B711" s="240"/>
      <c r="C711" s="240"/>
    </row>
    <row r="712" spans="2:3" ht="15.75" customHeight="1" x14ac:dyDescent="0.2">
      <c r="B712" s="240"/>
      <c r="C712" s="240"/>
    </row>
    <row r="713" spans="2:3" ht="15.75" customHeight="1" x14ac:dyDescent="0.2">
      <c r="B713" s="240"/>
      <c r="C713" s="240"/>
    </row>
    <row r="714" spans="2:3" ht="15.75" customHeight="1" x14ac:dyDescent="0.2">
      <c r="B714" s="240"/>
      <c r="C714" s="240"/>
    </row>
    <row r="715" spans="2:3" ht="15.75" customHeight="1" x14ac:dyDescent="0.2">
      <c r="B715" s="240"/>
      <c r="C715" s="240"/>
    </row>
    <row r="716" spans="2:3" ht="15.75" customHeight="1" x14ac:dyDescent="0.2">
      <c r="B716" s="240"/>
      <c r="C716" s="240"/>
    </row>
    <row r="717" spans="2:3" ht="15.75" customHeight="1" x14ac:dyDescent="0.2">
      <c r="B717" s="240"/>
      <c r="C717" s="240"/>
    </row>
    <row r="718" spans="2:3" ht="15.75" customHeight="1" x14ac:dyDescent="0.2">
      <c r="B718" s="240"/>
      <c r="C718" s="240"/>
    </row>
    <row r="719" spans="2:3" ht="15.75" customHeight="1" x14ac:dyDescent="0.2">
      <c r="B719" s="240"/>
      <c r="C719" s="240"/>
    </row>
    <row r="720" spans="2:3" ht="15.75" customHeight="1" x14ac:dyDescent="0.2">
      <c r="B720" s="240"/>
      <c r="C720" s="240"/>
    </row>
    <row r="721" spans="2:3" ht="15.75" customHeight="1" x14ac:dyDescent="0.2">
      <c r="B721" s="240"/>
      <c r="C721" s="240"/>
    </row>
    <row r="722" spans="2:3" ht="15.75" customHeight="1" x14ac:dyDescent="0.2">
      <c r="B722" s="240"/>
      <c r="C722" s="240"/>
    </row>
    <row r="723" spans="2:3" ht="15.75" customHeight="1" x14ac:dyDescent="0.2">
      <c r="B723" s="240"/>
      <c r="C723" s="240"/>
    </row>
    <row r="724" spans="2:3" ht="15.75" customHeight="1" x14ac:dyDescent="0.2">
      <c r="B724" s="240"/>
      <c r="C724" s="240"/>
    </row>
    <row r="725" spans="2:3" ht="15.75" customHeight="1" x14ac:dyDescent="0.2">
      <c r="B725" s="240"/>
      <c r="C725" s="240"/>
    </row>
    <row r="726" spans="2:3" ht="15.75" customHeight="1" x14ac:dyDescent="0.2">
      <c r="B726" s="240"/>
      <c r="C726" s="240"/>
    </row>
    <row r="727" spans="2:3" ht="15.75" customHeight="1" x14ac:dyDescent="0.2">
      <c r="B727" s="240"/>
      <c r="C727" s="240"/>
    </row>
    <row r="728" spans="2:3" ht="15.75" customHeight="1" x14ac:dyDescent="0.2">
      <c r="B728" s="240"/>
      <c r="C728" s="240"/>
    </row>
    <row r="729" spans="2:3" ht="15.75" customHeight="1" x14ac:dyDescent="0.2">
      <c r="B729" s="240"/>
      <c r="C729" s="240"/>
    </row>
    <row r="730" spans="2:3" ht="15.75" customHeight="1" x14ac:dyDescent="0.2">
      <c r="B730" s="240"/>
      <c r="C730" s="240"/>
    </row>
    <row r="731" spans="2:3" ht="15.75" customHeight="1" x14ac:dyDescent="0.2">
      <c r="B731" s="240"/>
      <c r="C731" s="240"/>
    </row>
    <row r="732" spans="2:3" ht="15.75" customHeight="1" x14ac:dyDescent="0.2">
      <c r="B732" s="240"/>
      <c r="C732" s="240"/>
    </row>
    <row r="733" spans="2:3" ht="15.75" customHeight="1" x14ac:dyDescent="0.2">
      <c r="B733" s="240"/>
      <c r="C733" s="240"/>
    </row>
    <row r="734" spans="2:3" ht="15.75" customHeight="1" x14ac:dyDescent="0.2">
      <c r="B734" s="240"/>
      <c r="C734" s="240"/>
    </row>
    <row r="735" spans="2:3" ht="15.75" customHeight="1" x14ac:dyDescent="0.2">
      <c r="B735" s="240"/>
      <c r="C735" s="240"/>
    </row>
    <row r="736" spans="2:3" ht="15.75" customHeight="1" x14ac:dyDescent="0.2">
      <c r="B736" s="240"/>
      <c r="C736" s="240"/>
    </row>
    <row r="737" spans="2:3" ht="15.75" customHeight="1" x14ac:dyDescent="0.2">
      <c r="B737" s="240"/>
      <c r="C737" s="240"/>
    </row>
    <row r="738" spans="2:3" ht="15.75" customHeight="1" x14ac:dyDescent="0.2">
      <c r="B738" s="240"/>
      <c r="C738" s="240"/>
    </row>
    <row r="739" spans="2:3" ht="15.75" customHeight="1" x14ac:dyDescent="0.2">
      <c r="B739" s="240"/>
      <c r="C739" s="240"/>
    </row>
    <row r="740" spans="2:3" ht="15.75" customHeight="1" x14ac:dyDescent="0.2">
      <c r="B740" s="240"/>
      <c r="C740" s="240"/>
    </row>
    <row r="741" spans="2:3" ht="15.75" customHeight="1" x14ac:dyDescent="0.2">
      <c r="B741" s="240"/>
      <c r="C741" s="240"/>
    </row>
    <row r="742" spans="2:3" ht="15.75" customHeight="1" x14ac:dyDescent="0.2">
      <c r="B742" s="240"/>
      <c r="C742" s="240"/>
    </row>
    <row r="743" spans="2:3" ht="15.75" customHeight="1" x14ac:dyDescent="0.2">
      <c r="B743" s="240"/>
      <c r="C743" s="240"/>
    </row>
    <row r="744" spans="2:3" ht="15.75" customHeight="1" x14ac:dyDescent="0.2">
      <c r="B744" s="240"/>
      <c r="C744" s="240"/>
    </row>
    <row r="745" spans="2:3" ht="15.75" customHeight="1" x14ac:dyDescent="0.2">
      <c r="B745" s="240"/>
      <c r="C745" s="240"/>
    </row>
    <row r="746" spans="2:3" ht="15.75" customHeight="1" x14ac:dyDescent="0.2">
      <c r="B746" s="240"/>
      <c r="C746" s="240"/>
    </row>
    <row r="747" spans="2:3" ht="15.75" customHeight="1" x14ac:dyDescent="0.2">
      <c r="B747" s="240"/>
      <c r="C747" s="240"/>
    </row>
    <row r="748" spans="2:3" ht="15.75" customHeight="1" x14ac:dyDescent="0.2">
      <c r="B748" s="240"/>
      <c r="C748" s="240"/>
    </row>
    <row r="749" spans="2:3" ht="15.75" customHeight="1" x14ac:dyDescent="0.2">
      <c r="B749" s="240"/>
      <c r="C749" s="240"/>
    </row>
    <row r="750" spans="2:3" ht="15.75" customHeight="1" x14ac:dyDescent="0.2">
      <c r="B750" s="240"/>
      <c r="C750" s="240"/>
    </row>
    <row r="751" spans="2:3" ht="15.75" customHeight="1" x14ac:dyDescent="0.2">
      <c r="B751" s="240"/>
      <c r="C751" s="240"/>
    </row>
    <row r="752" spans="2:3" ht="15.75" customHeight="1" x14ac:dyDescent="0.2">
      <c r="B752" s="240"/>
      <c r="C752" s="240"/>
    </row>
    <row r="753" spans="2:3" ht="15.75" customHeight="1" x14ac:dyDescent="0.2">
      <c r="B753" s="240"/>
      <c r="C753" s="240"/>
    </row>
    <row r="754" spans="2:3" ht="15.75" customHeight="1" x14ac:dyDescent="0.2">
      <c r="B754" s="240"/>
      <c r="C754" s="240"/>
    </row>
    <row r="755" spans="2:3" ht="15.75" customHeight="1" x14ac:dyDescent="0.2">
      <c r="B755" s="240"/>
      <c r="C755" s="240"/>
    </row>
    <row r="756" spans="2:3" ht="15.75" customHeight="1" x14ac:dyDescent="0.2">
      <c r="B756" s="240"/>
      <c r="C756" s="240"/>
    </row>
    <row r="757" spans="2:3" ht="15.75" customHeight="1" x14ac:dyDescent="0.2">
      <c r="B757" s="240"/>
      <c r="C757" s="240"/>
    </row>
    <row r="758" spans="2:3" ht="15.75" customHeight="1" x14ac:dyDescent="0.2">
      <c r="B758" s="240"/>
      <c r="C758" s="240"/>
    </row>
    <row r="759" spans="2:3" ht="15.75" customHeight="1" x14ac:dyDescent="0.2">
      <c r="B759" s="240"/>
      <c r="C759" s="240"/>
    </row>
    <row r="760" spans="2:3" ht="15.75" customHeight="1" x14ac:dyDescent="0.2">
      <c r="B760" s="240"/>
      <c r="C760" s="240"/>
    </row>
    <row r="761" spans="2:3" ht="15.75" customHeight="1" x14ac:dyDescent="0.2">
      <c r="B761" s="240"/>
      <c r="C761" s="240"/>
    </row>
    <row r="762" spans="2:3" ht="15.75" customHeight="1" x14ac:dyDescent="0.2">
      <c r="B762" s="240"/>
      <c r="C762" s="240"/>
    </row>
    <row r="763" spans="2:3" ht="15.75" customHeight="1" x14ac:dyDescent="0.2">
      <c r="B763" s="240"/>
      <c r="C763" s="240"/>
    </row>
    <row r="764" spans="2:3" ht="15.75" customHeight="1" x14ac:dyDescent="0.2">
      <c r="B764" s="240"/>
      <c r="C764" s="240"/>
    </row>
    <row r="765" spans="2:3" ht="15.75" customHeight="1" x14ac:dyDescent="0.2">
      <c r="B765" s="240"/>
      <c r="C765" s="240"/>
    </row>
    <row r="766" spans="2:3" ht="15.75" customHeight="1" x14ac:dyDescent="0.2">
      <c r="B766" s="240"/>
      <c r="C766" s="240"/>
    </row>
    <row r="767" spans="2:3" ht="15.75" customHeight="1" x14ac:dyDescent="0.2">
      <c r="B767" s="240"/>
      <c r="C767" s="240"/>
    </row>
    <row r="768" spans="2:3" ht="15.75" customHeight="1" x14ac:dyDescent="0.2">
      <c r="B768" s="240"/>
      <c r="C768" s="240"/>
    </row>
    <row r="769" spans="2:3" ht="15.75" customHeight="1" x14ac:dyDescent="0.2">
      <c r="B769" s="240"/>
      <c r="C769" s="240"/>
    </row>
    <row r="770" spans="2:3" ht="15.75" customHeight="1" x14ac:dyDescent="0.2">
      <c r="B770" s="240"/>
      <c r="C770" s="240"/>
    </row>
    <row r="771" spans="2:3" ht="15.75" customHeight="1" x14ac:dyDescent="0.2">
      <c r="B771" s="240"/>
      <c r="C771" s="240"/>
    </row>
    <row r="772" spans="2:3" ht="15.75" customHeight="1" x14ac:dyDescent="0.2">
      <c r="B772" s="240"/>
      <c r="C772" s="240"/>
    </row>
    <row r="773" spans="2:3" ht="15.75" customHeight="1" x14ac:dyDescent="0.2">
      <c r="B773" s="240"/>
      <c r="C773" s="240"/>
    </row>
    <row r="774" spans="2:3" ht="15.75" customHeight="1" x14ac:dyDescent="0.2">
      <c r="B774" s="240"/>
      <c r="C774" s="240"/>
    </row>
    <row r="775" spans="2:3" ht="15.75" customHeight="1" x14ac:dyDescent="0.2">
      <c r="B775" s="240"/>
      <c r="C775" s="240"/>
    </row>
    <row r="776" spans="2:3" ht="15.75" customHeight="1" x14ac:dyDescent="0.2">
      <c r="B776" s="240"/>
      <c r="C776" s="240"/>
    </row>
    <row r="777" spans="2:3" ht="15.75" customHeight="1" x14ac:dyDescent="0.2">
      <c r="B777" s="240"/>
      <c r="C777" s="240"/>
    </row>
    <row r="778" spans="2:3" ht="15.75" customHeight="1" x14ac:dyDescent="0.2">
      <c r="B778" s="240"/>
      <c r="C778" s="240"/>
    </row>
    <row r="779" spans="2:3" ht="15.75" customHeight="1" x14ac:dyDescent="0.2">
      <c r="B779" s="240"/>
      <c r="C779" s="240"/>
    </row>
    <row r="780" spans="2:3" ht="15.75" customHeight="1" x14ac:dyDescent="0.2">
      <c r="B780" s="240"/>
      <c r="C780" s="240"/>
    </row>
    <row r="781" spans="2:3" ht="15.75" customHeight="1" x14ac:dyDescent="0.2">
      <c r="B781" s="240"/>
      <c r="C781" s="240"/>
    </row>
    <row r="782" spans="2:3" ht="15.75" customHeight="1" x14ac:dyDescent="0.2">
      <c r="B782" s="240"/>
      <c r="C782" s="240"/>
    </row>
    <row r="783" spans="2:3" ht="15.75" customHeight="1" x14ac:dyDescent="0.2">
      <c r="B783" s="240"/>
      <c r="C783" s="240"/>
    </row>
    <row r="784" spans="2:3" ht="15.75" customHeight="1" x14ac:dyDescent="0.2">
      <c r="B784" s="240"/>
      <c r="C784" s="240"/>
    </row>
    <row r="785" spans="2:3" ht="15.75" customHeight="1" x14ac:dyDescent="0.2">
      <c r="B785" s="240"/>
      <c r="C785" s="240"/>
    </row>
    <row r="786" spans="2:3" ht="15.75" customHeight="1" x14ac:dyDescent="0.2">
      <c r="B786" s="240"/>
      <c r="C786" s="240"/>
    </row>
    <row r="787" spans="2:3" ht="15.75" customHeight="1" x14ac:dyDescent="0.2">
      <c r="B787" s="240"/>
      <c r="C787" s="240"/>
    </row>
    <row r="788" spans="2:3" ht="15.75" customHeight="1" x14ac:dyDescent="0.2">
      <c r="B788" s="240"/>
      <c r="C788" s="240"/>
    </row>
    <row r="789" spans="2:3" ht="15.75" customHeight="1" x14ac:dyDescent="0.2">
      <c r="B789" s="240"/>
      <c r="C789" s="240"/>
    </row>
    <row r="790" spans="2:3" ht="15.75" customHeight="1" x14ac:dyDescent="0.2">
      <c r="B790" s="240"/>
      <c r="C790" s="240"/>
    </row>
    <row r="791" spans="2:3" ht="15.75" customHeight="1" x14ac:dyDescent="0.2">
      <c r="B791" s="240"/>
      <c r="C791" s="240"/>
    </row>
    <row r="792" spans="2:3" ht="15.75" customHeight="1" x14ac:dyDescent="0.2">
      <c r="B792" s="240"/>
      <c r="C792" s="240"/>
    </row>
    <row r="793" spans="2:3" ht="15.75" customHeight="1" x14ac:dyDescent="0.2">
      <c r="B793" s="240"/>
      <c r="C793" s="240"/>
    </row>
    <row r="794" spans="2:3" ht="15.75" customHeight="1" x14ac:dyDescent="0.2">
      <c r="B794" s="240"/>
      <c r="C794" s="240"/>
    </row>
    <row r="795" spans="2:3" ht="15.75" customHeight="1" x14ac:dyDescent="0.2">
      <c r="B795" s="240"/>
      <c r="C795" s="240"/>
    </row>
    <row r="796" spans="2:3" ht="15.75" customHeight="1" x14ac:dyDescent="0.2">
      <c r="B796" s="240"/>
      <c r="C796" s="240"/>
    </row>
    <row r="797" spans="2:3" ht="15.75" customHeight="1" x14ac:dyDescent="0.2">
      <c r="B797" s="240"/>
      <c r="C797" s="240"/>
    </row>
    <row r="798" spans="2:3" ht="15.75" customHeight="1" x14ac:dyDescent="0.2">
      <c r="B798" s="240"/>
      <c r="C798" s="240"/>
    </row>
    <row r="799" spans="2:3" ht="15.75" customHeight="1" x14ac:dyDescent="0.2">
      <c r="B799" s="240"/>
      <c r="C799" s="240"/>
    </row>
    <row r="800" spans="2:3" ht="15.75" customHeight="1" x14ac:dyDescent="0.2">
      <c r="B800" s="240"/>
      <c r="C800" s="240"/>
    </row>
    <row r="801" spans="2:3" ht="15.75" customHeight="1" x14ac:dyDescent="0.2">
      <c r="B801" s="240"/>
      <c r="C801" s="240"/>
    </row>
    <row r="802" spans="2:3" ht="15.75" customHeight="1" x14ac:dyDescent="0.2">
      <c r="B802" s="240"/>
      <c r="C802" s="240"/>
    </row>
    <row r="803" spans="2:3" ht="15.75" customHeight="1" x14ac:dyDescent="0.2">
      <c r="B803" s="240"/>
      <c r="C803" s="240"/>
    </row>
    <row r="804" spans="2:3" ht="15.75" customHeight="1" x14ac:dyDescent="0.2">
      <c r="B804" s="240"/>
      <c r="C804" s="240"/>
    </row>
    <row r="805" spans="2:3" ht="15.75" customHeight="1" x14ac:dyDescent="0.2">
      <c r="B805" s="240"/>
      <c r="C805" s="240"/>
    </row>
    <row r="806" spans="2:3" ht="15.75" customHeight="1" x14ac:dyDescent="0.2">
      <c r="B806" s="240"/>
      <c r="C806" s="240"/>
    </row>
    <row r="807" spans="2:3" ht="15.75" customHeight="1" x14ac:dyDescent="0.2">
      <c r="B807" s="240"/>
      <c r="C807" s="240"/>
    </row>
    <row r="808" spans="2:3" ht="15.75" customHeight="1" x14ac:dyDescent="0.2">
      <c r="B808" s="240"/>
      <c r="C808" s="240"/>
    </row>
    <row r="809" spans="2:3" ht="15.75" customHeight="1" x14ac:dyDescent="0.2">
      <c r="B809" s="240"/>
      <c r="C809" s="240"/>
    </row>
    <row r="810" spans="2:3" ht="15.75" customHeight="1" x14ac:dyDescent="0.2">
      <c r="B810" s="240"/>
      <c r="C810" s="240"/>
    </row>
    <row r="811" spans="2:3" ht="15.75" customHeight="1" x14ac:dyDescent="0.2">
      <c r="B811" s="240"/>
      <c r="C811" s="240"/>
    </row>
    <row r="812" spans="2:3" ht="15.75" customHeight="1" x14ac:dyDescent="0.2">
      <c r="B812" s="240"/>
      <c r="C812" s="240"/>
    </row>
    <row r="813" spans="2:3" ht="15.75" customHeight="1" x14ac:dyDescent="0.2">
      <c r="B813" s="240"/>
      <c r="C813" s="240"/>
    </row>
    <row r="814" spans="2:3" ht="15.75" customHeight="1" x14ac:dyDescent="0.2">
      <c r="B814" s="240"/>
      <c r="C814" s="240"/>
    </row>
    <row r="815" spans="2:3" ht="15.75" customHeight="1" x14ac:dyDescent="0.2">
      <c r="B815" s="240"/>
      <c r="C815" s="240"/>
    </row>
    <row r="816" spans="2:3" ht="15.75" customHeight="1" x14ac:dyDescent="0.2">
      <c r="B816" s="240"/>
      <c r="C816" s="240"/>
    </row>
    <row r="817" spans="2:3" ht="15.75" customHeight="1" x14ac:dyDescent="0.2">
      <c r="B817" s="240"/>
      <c r="C817" s="240"/>
    </row>
    <row r="818" spans="2:3" ht="15.75" customHeight="1" x14ac:dyDescent="0.2">
      <c r="B818" s="240"/>
      <c r="C818" s="240"/>
    </row>
    <row r="819" spans="2:3" ht="15.75" customHeight="1" x14ac:dyDescent="0.2">
      <c r="B819" s="240"/>
      <c r="C819" s="240"/>
    </row>
    <row r="820" spans="2:3" ht="15.75" customHeight="1" x14ac:dyDescent="0.2">
      <c r="B820" s="240"/>
      <c r="C820" s="240"/>
    </row>
    <row r="821" spans="2:3" ht="15.75" customHeight="1" x14ac:dyDescent="0.2">
      <c r="B821" s="240"/>
      <c r="C821" s="240"/>
    </row>
    <row r="822" spans="2:3" ht="15.75" customHeight="1" x14ac:dyDescent="0.2">
      <c r="B822" s="240"/>
      <c r="C822" s="240"/>
    </row>
    <row r="823" spans="2:3" ht="15.75" customHeight="1" x14ac:dyDescent="0.2">
      <c r="B823" s="240"/>
      <c r="C823" s="240"/>
    </row>
    <row r="824" spans="2:3" ht="15.75" customHeight="1" x14ac:dyDescent="0.2">
      <c r="B824" s="240"/>
      <c r="C824" s="240"/>
    </row>
    <row r="825" spans="2:3" ht="15.75" customHeight="1" x14ac:dyDescent="0.2">
      <c r="B825" s="240"/>
      <c r="C825" s="240"/>
    </row>
    <row r="826" spans="2:3" ht="15.75" customHeight="1" x14ac:dyDescent="0.2">
      <c r="B826" s="240"/>
      <c r="C826" s="240"/>
    </row>
    <row r="827" spans="2:3" ht="15.75" customHeight="1" x14ac:dyDescent="0.2">
      <c r="B827" s="240"/>
      <c r="C827" s="240"/>
    </row>
    <row r="828" spans="2:3" ht="15.75" customHeight="1" x14ac:dyDescent="0.2">
      <c r="B828" s="240"/>
      <c r="C828" s="240"/>
    </row>
    <row r="829" spans="2:3" ht="15.75" customHeight="1" x14ac:dyDescent="0.2">
      <c r="B829" s="240"/>
      <c r="C829" s="240"/>
    </row>
    <row r="830" spans="2:3" ht="15.75" customHeight="1" x14ac:dyDescent="0.2">
      <c r="B830" s="240"/>
      <c r="C830" s="240"/>
    </row>
    <row r="831" spans="2:3" ht="15.75" customHeight="1" x14ac:dyDescent="0.2">
      <c r="B831" s="240"/>
      <c r="C831" s="240"/>
    </row>
    <row r="832" spans="2:3" ht="15.75" customHeight="1" x14ac:dyDescent="0.2">
      <c r="B832" s="240"/>
      <c r="C832" s="240"/>
    </row>
    <row r="833" spans="2:3" ht="15.75" customHeight="1" x14ac:dyDescent="0.2">
      <c r="B833" s="240"/>
      <c r="C833" s="240"/>
    </row>
    <row r="834" spans="2:3" ht="15.75" customHeight="1" x14ac:dyDescent="0.2">
      <c r="B834" s="240"/>
      <c r="C834" s="240"/>
    </row>
    <row r="835" spans="2:3" ht="15.75" customHeight="1" x14ac:dyDescent="0.2">
      <c r="B835" s="240"/>
      <c r="C835" s="240"/>
    </row>
    <row r="836" spans="2:3" ht="15.75" customHeight="1" x14ac:dyDescent="0.2">
      <c r="B836" s="240"/>
      <c r="C836" s="240"/>
    </row>
    <row r="837" spans="2:3" ht="15.75" customHeight="1" x14ac:dyDescent="0.2">
      <c r="B837" s="240"/>
      <c r="C837" s="240"/>
    </row>
    <row r="838" spans="2:3" ht="15.75" customHeight="1" x14ac:dyDescent="0.2">
      <c r="B838" s="240"/>
      <c r="C838" s="240"/>
    </row>
    <row r="839" spans="2:3" ht="15.75" customHeight="1" x14ac:dyDescent="0.2">
      <c r="B839" s="240"/>
      <c r="C839" s="240"/>
    </row>
    <row r="840" spans="2:3" ht="15.75" customHeight="1" x14ac:dyDescent="0.2">
      <c r="B840" s="240"/>
      <c r="C840" s="240"/>
    </row>
    <row r="841" spans="2:3" ht="15.75" customHeight="1" x14ac:dyDescent="0.2">
      <c r="B841" s="240"/>
      <c r="C841" s="240"/>
    </row>
    <row r="842" spans="2:3" ht="15.75" customHeight="1" x14ac:dyDescent="0.2">
      <c r="B842" s="240"/>
      <c r="C842" s="240"/>
    </row>
    <row r="843" spans="2:3" ht="15.75" customHeight="1" x14ac:dyDescent="0.2">
      <c r="B843" s="240"/>
      <c r="C843" s="240"/>
    </row>
    <row r="844" spans="2:3" ht="15.75" customHeight="1" x14ac:dyDescent="0.2">
      <c r="B844" s="240"/>
      <c r="C844" s="240"/>
    </row>
    <row r="845" spans="2:3" ht="15.75" customHeight="1" x14ac:dyDescent="0.2">
      <c r="B845" s="240"/>
      <c r="C845" s="240"/>
    </row>
    <row r="846" spans="2:3" ht="15.75" customHeight="1" x14ac:dyDescent="0.2">
      <c r="B846" s="240"/>
      <c r="C846" s="240"/>
    </row>
    <row r="847" spans="2:3" ht="15.75" customHeight="1" x14ac:dyDescent="0.2">
      <c r="B847" s="240"/>
      <c r="C847" s="240"/>
    </row>
    <row r="848" spans="2:3" ht="15.75" customHeight="1" x14ac:dyDescent="0.2">
      <c r="B848" s="240"/>
      <c r="C848" s="240"/>
    </row>
    <row r="849" spans="2:3" ht="15.75" customHeight="1" x14ac:dyDescent="0.2">
      <c r="B849" s="240"/>
      <c r="C849" s="240"/>
    </row>
    <row r="850" spans="2:3" ht="15.75" customHeight="1" x14ac:dyDescent="0.2">
      <c r="B850" s="240"/>
      <c r="C850" s="240"/>
    </row>
    <row r="851" spans="2:3" ht="15.75" customHeight="1" x14ac:dyDescent="0.2">
      <c r="B851" s="240"/>
      <c r="C851" s="240"/>
    </row>
    <row r="852" spans="2:3" ht="15.75" customHeight="1" x14ac:dyDescent="0.2">
      <c r="B852" s="240"/>
      <c r="C852" s="240"/>
    </row>
    <row r="853" spans="2:3" ht="15.75" customHeight="1" x14ac:dyDescent="0.2">
      <c r="B853" s="240"/>
      <c r="C853" s="240"/>
    </row>
    <row r="854" spans="2:3" ht="15.75" customHeight="1" x14ac:dyDescent="0.2">
      <c r="B854" s="240"/>
      <c r="C854" s="240"/>
    </row>
    <row r="855" spans="2:3" ht="15.75" customHeight="1" x14ac:dyDescent="0.2">
      <c r="B855" s="240"/>
      <c r="C855" s="240"/>
    </row>
    <row r="856" spans="2:3" ht="15.75" customHeight="1" x14ac:dyDescent="0.2">
      <c r="B856" s="240"/>
      <c r="C856" s="240"/>
    </row>
    <row r="857" spans="2:3" ht="15.75" customHeight="1" x14ac:dyDescent="0.2">
      <c r="B857" s="240"/>
      <c r="C857" s="240"/>
    </row>
    <row r="858" spans="2:3" ht="15.75" customHeight="1" x14ac:dyDescent="0.2">
      <c r="B858" s="240"/>
      <c r="C858" s="240"/>
    </row>
    <row r="859" spans="2:3" ht="15.75" customHeight="1" x14ac:dyDescent="0.2">
      <c r="B859" s="240"/>
      <c r="C859" s="240"/>
    </row>
    <row r="860" spans="2:3" ht="15.75" customHeight="1" x14ac:dyDescent="0.2">
      <c r="B860" s="240"/>
      <c r="C860" s="240"/>
    </row>
    <row r="861" spans="2:3" ht="15.75" customHeight="1" x14ac:dyDescent="0.2">
      <c r="B861" s="240"/>
      <c r="C861" s="240"/>
    </row>
    <row r="862" spans="2:3" ht="15.75" customHeight="1" x14ac:dyDescent="0.2">
      <c r="B862" s="240"/>
      <c r="C862" s="240"/>
    </row>
    <row r="863" spans="2:3" ht="15.75" customHeight="1" x14ac:dyDescent="0.2">
      <c r="B863" s="240"/>
      <c r="C863" s="240"/>
    </row>
    <row r="864" spans="2:3" ht="15.75" customHeight="1" x14ac:dyDescent="0.2">
      <c r="B864" s="240"/>
      <c r="C864" s="240"/>
    </row>
    <row r="865" spans="2:3" ht="15.75" customHeight="1" x14ac:dyDescent="0.2">
      <c r="B865" s="240"/>
      <c r="C865" s="240"/>
    </row>
    <row r="866" spans="2:3" ht="15.75" customHeight="1" x14ac:dyDescent="0.2">
      <c r="B866" s="240"/>
      <c r="C866" s="240"/>
    </row>
    <row r="867" spans="2:3" ht="15.75" customHeight="1" x14ac:dyDescent="0.2">
      <c r="B867" s="240"/>
      <c r="C867" s="240"/>
    </row>
    <row r="868" spans="2:3" ht="15.75" customHeight="1" x14ac:dyDescent="0.2">
      <c r="B868" s="240"/>
      <c r="C868" s="240"/>
    </row>
    <row r="869" spans="2:3" ht="15.75" customHeight="1" x14ac:dyDescent="0.2">
      <c r="B869" s="240"/>
      <c r="C869" s="240"/>
    </row>
    <row r="870" spans="2:3" ht="15.75" customHeight="1" x14ac:dyDescent="0.2">
      <c r="B870" s="240"/>
      <c r="C870" s="240"/>
    </row>
    <row r="871" spans="2:3" ht="15.75" customHeight="1" x14ac:dyDescent="0.2">
      <c r="B871" s="240"/>
      <c r="C871" s="240"/>
    </row>
    <row r="872" spans="2:3" ht="15.75" customHeight="1" x14ac:dyDescent="0.2">
      <c r="B872" s="240"/>
      <c r="C872" s="240"/>
    </row>
    <row r="873" spans="2:3" ht="15.75" customHeight="1" x14ac:dyDescent="0.2">
      <c r="B873" s="240"/>
      <c r="C873" s="240"/>
    </row>
    <row r="874" spans="2:3" ht="15.75" customHeight="1" x14ac:dyDescent="0.2">
      <c r="B874" s="240"/>
      <c r="C874" s="240"/>
    </row>
    <row r="875" spans="2:3" ht="15.75" customHeight="1" x14ac:dyDescent="0.2">
      <c r="B875" s="240"/>
      <c r="C875" s="240"/>
    </row>
    <row r="876" spans="2:3" ht="15.75" customHeight="1" x14ac:dyDescent="0.2">
      <c r="B876" s="240"/>
      <c r="C876" s="240"/>
    </row>
    <row r="877" spans="2:3" ht="15.75" customHeight="1" x14ac:dyDescent="0.2">
      <c r="B877" s="240"/>
      <c r="C877" s="240"/>
    </row>
    <row r="878" spans="2:3" ht="15.75" customHeight="1" x14ac:dyDescent="0.2">
      <c r="B878" s="240"/>
      <c r="C878" s="240"/>
    </row>
    <row r="879" spans="2:3" ht="15.75" customHeight="1" x14ac:dyDescent="0.2">
      <c r="B879" s="240"/>
      <c r="C879" s="240"/>
    </row>
    <row r="880" spans="2:3" ht="15.75" customHeight="1" x14ac:dyDescent="0.2">
      <c r="B880" s="240"/>
      <c r="C880" s="240"/>
    </row>
    <row r="881" spans="2:3" ht="15.75" customHeight="1" x14ac:dyDescent="0.2">
      <c r="B881" s="240"/>
      <c r="C881" s="240"/>
    </row>
    <row r="882" spans="2:3" ht="15.75" customHeight="1" x14ac:dyDescent="0.2">
      <c r="B882" s="240"/>
      <c r="C882" s="240"/>
    </row>
    <row r="883" spans="2:3" ht="15.75" customHeight="1" x14ac:dyDescent="0.2">
      <c r="B883" s="240"/>
      <c r="C883" s="240"/>
    </row>
    <row r="884" spans="2:3" ht="15.75" customHeight="1" x14ac:dyDescent="0.2">
      <c r="B884" s="240"/>
      <c r="C884" s="240"/>
    </row>
    <row r="885" spans="2:3" ht="15.75" customHeight="1" x14ac:dyDescent="0.2">
      <c r="B885" s="240"/>
      <c r="C885" s="240"/>
    </row>
    <row r="886" spans="2:3" ht="15.75" customHeight="1" x14ac:dyDescent="0.2">
      <c r="B886" s="240"/>
      <c r="C886" s="240"/>
    </row>
    <row r="887" spans="2:3" ht="15.75" customHeight="1" x14ac:dyDescent="0.2">
      <c r="B887" s="240"/>
      <c r="C887" s="240"/>
    </row>
    <row r="888" spans="2:3" ht="15.75" customHeight="1" x14ac:dyDescent="0.2">
      <c r="B888" s="240"/>
      <c r="C888" s="240"/>
    </row>
    <row r="889" spans="2:3" ht="15.75" customHeight="1" x14ac:dyDescent="0.2">
      <c r="B889" s="240"/>
      <c r="C889" s="240"/>
    </row>
    <row r="890" spans="2:3" ht="15.75" customHeight="1" x14ac:dyDescent="0.2">
      <c r="B890" s="240"/>
      <c r="C890" s="240"/>
    </row>
    <row r="891" spans="2:3" ht="15.75" customHeight="1" x14ac:dyDescent="0.2">
      <c r="B891" s="240"/>
      <c r="C891" s="240"/>
    </row>
    <row r="892" spans="2:3" ht="15.75" customHeight="1" x14ac:dyDescent="0.2">
      <c r="B892" s="240"/>
      <c r="C892" s="240"/>
    </row>
    <row r="893" spans="2:3" ht="15.75" customHeight="1" x14ac:dyDescent="0.2">
      <c r="B893" s="240"/>
      <c r="C893" s="240"/>
    </row>
    <row r="894" spans="2:3" ht="15.75" customHeight="1" x14ac:dyDescent="0.2">
      <c r="B894" s="240"/>
      <c r="C894" s="240"/>
    </row>
    <row r="895" spans="2:3" ht="15.75" customHeight="1" x14ac:dyDescent="0.2">
      <c r="B895" s="240"/>
      <c r="C895" s="240"/>
    </row>
    <row r="896" spans="2:3" ht="15.75" customHeight="1" x14ac:dyDescent="0.2">
      <c r="B896" s="240"/>
      <c r="C896" s="240"/>
    </row>
    <row r="897" spans="2:3" ht="15.75" customHeight="1" x14ac:dyDescent="0.2">
      <c r="B897" s="240"/>
      <c r="C897" s="240"/>
    </row>
    <row r="898" spans="2:3" ht="15.75" customHeight="1" x14ac:dyDescent="0.2">
      <c r="B898" s="240"/>
      <c r="C898" s="240"/>
    </row>
    <row r="899" spans="2:3" ht="15.75" customHeight="1" x14ac:dyDescent="0.2">
      <c r="B899" s="240"/>
      <c r="C899" s="240"/>
    </row>
    <row r="900" spans="2:3" ht="15.75" customHeight="1" x14ac:dyDescent="0.2">
      <c r="B900" s="240"/>
      <c r="C900" s="240"/>
    </row>
    <row r="901" spans="2:3" ht="15.75" customHeight="1" x14ac:dyDescent="0.2">
      <c r="B901" s="240"/>
      <c r="C901" s="240"/>
    </row>
    <row r="902" spans="2:3" ht="15.75" customHeight="1" x14ac:dyDescent="0.2">
      <c r="B902" s="240"/>
      <c r="C902" s="240"/>
    </row>
    <row r="903" spans="2:3" ht="15.75" customHeight="1" x14ac:dyDescent="0.2">
      <c r="B903" s="240"/>
      <c r="C903" s="240"/>
    </row>
    <row r="904" spans="2:3" ht="15.75" customHeight="1" x14ac:dyDescent="0.2">
      <c r="B904" s="240"/>
      <c r="C904" s="240"/>
    </row>
    <row r="905" spans="2:3" ht="15.75" customHeight="1" x14ac:dyDescent="0.2">
      <c r="B905" s="240"/>
      <c r="C905" s="240"/>
    </row>
    <row r="906" spans="2:3" ht="15.75" customHeight="1" x14ac:dyDescent="0.2">
      <c r="B906" s="240"/>
      <c r="C906" s="240"/>
    </row>
    <row r="907" spans="2:3" ht="15.75" customHeight="1" x14ac:dyDescent="0.2">
      <c r="B907" s="240"/>
      <c r="C907" s="240"/>
    </row>
    <row r="908" spans="2:3" ht="15.75" customHeight="1" x14ac:dyDescent="0.2">
      <c r="B908" s="240"/>
      <c r="C908" s="240"/>
    </row>
    <row r="909" spans="2:3" ht="15.75" customHeight="1" x14ac:dyDescent="0.2">
      <c r="B909" s="240"/>
      <c r="C909" s="240"/>
    </row>
    <row r="910" spans="2:3" ht="15.75" customHeight="1" x14ac:dyDescent="0.2">
      <c r="B910" s="240"/>
      <c r="C910" s="240"/>
    </row>
    <row r="911" spans="2:3" ht="15.75" customHeight="1" x14ac:dyDescent="0.2">
      <c r="B911" s="240"/>
      <c r="C911" s="240"/>
    </row>
    <row r="912" spans="2:3" ht="15.75" customHeight="1" x14ac:dyDescent="0.2">
      <c r="B912" s="240"/>
      <c r="C912" s="240"/>
    </row>
    <row r="913" spans="2:3" ht="15.75" customHeight="1" x14ac:dyDescent="0.2">
      <c r="B913" s="240"/>
      <c r="C913" s="240"/>
    </row>
    <row r="914" spans="2:3" ht="15.75" customHeight="1" x14ac:dyDescent="0.2">
      <c r="B914" s="240"/>
      <c r="C914" s="240"/>
    </row>
    <row r="915" spans="2:3" ht="15.75" customHeight="1" x14ac:dyDescent="0.2">
      <c r="B915" s="240"/>
      <c r="C915" s="240"/>
    </row>
    <row r="916" spans="2:3" ht="15.75" customHeight="1" x14ac:dyDescent="0.2">
      <c r="B916" s="240"/>
      <c r="C916" s="240"/>
    </row>
    <row r="917" spans="2:3" ht="15.75" customHeight="1" x14ac:dyDescent="0.2">
      <c r="B917" s="240"/>
      <c r="C917" s="240"/>
    </row>
    <row r="918" spans="2:3" ht="15.75" customHeight="1" x14ac:dyDescent="0.2">
      <c r="B918" s="240"/>
      <c r="C918" s="240"/>
    </row>
    <row r="919" spans="2:3" ht="15.75" customHeight="1" x14ac:dyDescent="0.2">
      <c r="B919" s="240"/>
      <c r="C919" s="240"/>
    </row>
    <row r="920" spans="2:3" ht="15.75" customHeight="1" x14ac:dyDescent="0.2">
      <c r="B920" s="240"/>
      <c r="C920" s="240"/>
    </row>
    <row r="921" spans="2:3" ht="15.75" customHeight="1" x14ac:dyDescent="0.2">
      <c r="B921" s="240"/>
      <c r="C921" s="240"/>
    </row>
    <row r="922" spans="2:3" ht="15.75" customHeight="1" x14ac:dyDescent="0.2">
      <c r="B922" s="240"/>
      <c r="C922" s="240"/>
    </row>
    <row r="923" spans="2:3" ht="15.75" customHeight="1" x14ac:dyDescent="0.2">
      <c r="B923" s="240"/>
      <c r="C923" s="240"/>
    </row>
    <row r="924" spans="2:3" ht="15.75" customHeight="1" x14ac:dyDescent="0.2">
      <c r="B924" s="240"/>
      <c r="C924" s="240"/>
    </row>
    <row r="925" spans="2:3" ht="15.75" customHeight="1" x14ac:dyDescent="0.2">
      <c r="B925" s="240"/>
      <c r="C925" s="240"/>
    </row>
    <row r="926" spans="2:3" ht="15.75" customHeight="1" x14ac:dyDescent="0.2">
      <c r="B926" s="240"/>
      <c r="C926" s="240"/>
    </row>
    <row r="927" spans="2:3" ht="15.75" customHeight="1" x14ac:dyDescent="0.2">
      <c r="B927" s="240"/>
      <c r="C927" s="240"/>
    </row>
    <row r="928" spans="2:3" ht="15.75" customHeight="1" x14ac:dyDescent="0.2">
      <c r="B928" s="240"/>
      <c r="C928" s="240"/>
    </row>
    <row r="929" spans="2:3" ht="15.75" customHeight="1" x14ac:dyDescent="0.2">
      <c r="B929" s="240"/>
      <c r="C929" s="240"/>
    </row>
    <row r="930" spans="2:3" ht="15.75" customHeight="1" x14ac:dyDescent="0.2">
      <c r="B930" s="240"/>
      <c r="C930" s="240"/>
    </row>
    <row r="931" spans="2:3" ht="15.75" customHeight="1" x14ac:dyDescent="0.2">
      <c r="B931" s="240"/>
      <c r="C931" s="240"/>
    </row>
    <row r="932" spans="2:3" ht="15.75" customHeight="1" x14ac:dyDescent="0.2">
      <c r="B932" s="240"/>
      <c r="C932" s="240"/>
    </row>
    <row r="933" spans="2:3" ht="15.75" customHeight="1" x14ac:dyDescent="0.2">
      <c r="B933" s="240"/>
      <c r="C933" s="240"/>
    </row>
    <row r="934" spans="2:3" ht="15.75" customHeight="1" x14ac:dyDescent="0.2">
      <c r="B934" s="240"/>
      <c r="C934" s="240"/>
    </row>
    <row r="935" spans="2:3" ht="15.75" customHeight="1" x14ac:dyDescent="0.2">
      <c r="B935" s="240"/>
      <c r="C935" s="240"/>
    </row>
    <row r="936" spans="2:3" ht="15.75" customHeight="1" x14ac:dyDescent="0.2">
      <c r="B936" s="240"/>
      <c r="C936" s="240"/>
    </row>
    <row r="937" spans="2:3" ht="15.75" customHeight="1" x14ac:dyDescent="0.2">
      <c r="B937" s="240"/>
      <c r="C937" s="240"/>
    </row>
    <row r="938" spans="2:3" ht="15.75" customHeight="1" x14ac:dyDescent="0.2">
      <c r="B938" s="240"/>
      <c r="C938" s="240"/>
    </row>
    <row r="939" spans="2:3" ht="15.75" customHeight="1" x14ac:dyDescent="0.2">
      <c r="B939" s="240"/>
      <c r="C939" s="240"/>
    </row>
    <row r="940" spans="2:3" ht="15.75" customHeight="1" x14ac:dyDescent="0.2">
      <c r="B940" s="240"/>
      <c r="C940" s="240"/>
    </row>
    <row r="941" spans="2:3" ht="15.75" customHeight="1" x14ac:dyDescent="0.2">
      <c r="B941" s="240"/>
      <c r="C941" s="240"/>
    </row>
    <row r="942" spans="2:3" ht="15.75" customHeight="1" x14ac:dyDescent="0.2">
      <c r="B942" s="240"/>
      <c r="C942" s="240"/>
    </row>
    <row r="943" spans="2:3" ht="15.75" customHeight="1" x14ac:dyDescent="0.2">
      <c r="B943" s="240"/>
      <c r="C943" s="240"/>
    </row>
    <row r="944" spans="2:3" ht="15.75" customHeight="1" x14ac:dyDescent="0.2">
      <c r="B944" s="240"/>
      <c r="C944" s="240"/>
    </row>
    <row r="945" spans="2:3" ht="15.75" customHeight="1" x14ac:dyDescent="0.2">
      <c r="B945" s="240"/>
      <c r="C945" s="240"/>
    </row>
    <row r="946" spans="2:3" ht="15.75" customHeight="1" x14ac:dyDescent="0.2">
      <c r="B946" s="240"/>
      <c r="C946" s="240"/>
    </row>
    <row r="947" spans="2:3" ht="15.75" customHeight="1" x14ac:dyDescent="0.2">
      <c r="B947" s="240"/>
      <c r="C947" s="240"/>
    </row>
    <row r="948" spans="2:3" ht="15.75" customHeight="1" x14ac:dyDescent="0.2">
      <c r="B948" s="240"/>
      <c r="C948" s="240"/>
    </row>
    <row r="949" spans="2:3" ht="15.75" customHeight="1" x14ac:dyDescent="0.2">
      <c r="B949" s="240"/>
      <c r="C949" s="240"/>
    </row>
    <row r="950" spans="2:3" ht="15.75" customHeight="1" x14ac:dyDescent="0.2">
      <c r="B950" s="240"/>
      <c r="C950" s="240"/>
    </row>
    <row r="951" spans="2:3" ht="15.75" customHeight="1" x14ac:dyDescent="0.2">
      <c r="B951" s="240"/>
      <c r="C951" s="240"/>
    </row>
    <row r="952" spans="2:3" ht="15.75" customHeight="1" x14ac:dyDescent="0.2">
      <c r="B952" s="240"/>
      <c r="C952" s="240"/>
    </row>
    <row r="953" spans="2:3" ht="15.75" customHeight="1" x14ac:dyDescent="0.2">
      <c r="B953" s="240"/>
      <c r="C953" s="240"/>
    </row>
    <row r="954" spans="2:3" ht="15.75" customHeight="1" x14ac:dyDescent="0.2">
      <c r="B954" s="240"/>
      <c r="C954" s="240"/>
    </row>
    <row r="955" spans="2:3" ht="15.75" customHeight="1" x14ac:dyDescent="0.2">
      <c r="B955" s="240"/>
      <c r="C955" s="240"/>
    </row>
    <row r="956" spans="2:3" ht="15.75" customHeight="1" x14ac:dyDescent="0.2">
      <c r="B956" s="240"/>
      <c r="C956" s="240"/>
    </row>
    <row r="957" spans="2:3" ht="15.75" customHeight="1" x14ac:dyDescent="0.2">
      <c r="B957" s="240"/>
      <c r="C957" s="240"/>
    </row>
    <row r="958" spans="2:3" ht="15.75" customHeight="1" x14ac:dyDescent="0.2">
      <c r="B958" s="240"/>
      <c r="C958" s="240"/>
    </row>
    <row r="959" spans="2:3" ht="15.75" customHeight="1" x14ac:dyDescent="0.2">
      <c r="B959" s="240"/>
      <c r="C959" s="240"/>
    </row>
    <row r="960" spans="2:3" ht="15.75" customHeight="1" x14ac:dyDescent="0.2">
      <c r="B960" s="240"/>
      <c r="C960" s="240"/>
    </row>
    <row r="961" spans="2:3" ht="15.75" customHeight="1" x14ac:dyDescent="0.2">
      <c r="B961" s="240"/>
      <c r="C961" s="240"/>
    </row>
    <row r="962" spans="2:3" ht="15.75" customHeight="1" x14ac:dyDescent="0.2">
      <c r="B962" s="240"/>
      <c r="C962" s="240"/>
    </row>
    <row r="963" spans="2:3" ht="15.75" customHeight="1" x14ac:dyDescent="0.2">
      <c r="B963" s="240"/>
      <c r="C963" s="240"/>
    </row>
    <row r="964" spans="2:3" ht="15.75" customHeight="1" x14ac:dyDescent="0.2">
      <c r="B964" s="240"/>
      <c r="C964" s="240"/>
    </row>
    <row r="965" spans="2:3" ht="15.75" customHeight="1" x14ac:dyDescent="0.2">
      <c r="B965" s="240"/>
      <c r="C965" s="240"/>
    </row>
    <row r="966" spans="2:3" ht="15.75" customHeight="1" x14ac:dyDescent="0.2">
      <c r="B966" s="240"/>
      <c r="C966" s="240"/>
    </row>
    <row r="967" spans="2:3" ht="15.75" customHeight="1" x14ac:dyDescent="0.2">
      <c r="B967" s="240"/>
      <c r="C967" s="240"/>
    </row>
    <row r="968" spans="2:3" ht="15.75" customHeight="1" x14ac:dyDescent="0.2">
      <c r="B968" s="240"/>
      <c r="C968" s="240"/>
    </row>
    <row r="969" spans="2:3" ht="15.75" customHeight="1" x14ac:dyDescent="0.2">
      <c r="B969" s="240"/>
      <c r="C969" s="240"/>
    </row>
    <row r="970" spans="2:3" ht="15.75" customHeight="1" x14ac:dyDescent="0.2">
      <c r="B970" s="240"/>
      <c r="C970" s="240"/>
    </row>
    <row r="971" spans="2:3" ht="15.75" customHeight="1" x14ac:dyDescent="0.2">
      <c r="B971" s="240"/>
      <c r="C971" s="240"/>
    </row>
    <row r="972" spans="2:3" ht="15.75" customHeight="1" x14ac:dyDescent="0.2">
      <c r="B972" s="240"/>
      <c r="C972" s="240"/>
    </row>
    <row r="973" spans="2:3" ht="15.75" customHeight="1" x14ac:dyDescent="0.2">
      <c r="B973" s="240"/>
      <c r="C973" s="240"/>
    </row>
    <row r="974" spans="2:3" ht="15.75" customHeight="1" x14ac:dyDescent="0.2">
      <c r="B974" s="240"/>
      <c r="C974" s="240"/>
    </row>
    <row r="975" spans="2:3" ht="15.75" customHeight="1" x14ac:dyDescent="0.2">
      <c r="B975" s="240"/>
      <c r="C975" s="240"/>
    </row>
    <row r="976" spans="2:3" ht="15.75" customHeight="1" x14ac:dyDescent="0.2">
      <c r="B976" s="240"/>
      <c r="C976" s="240"/>
    </row>
    <row r="977" spans="2:3" ht="15.75" customHeight="1" x14ac:dyDescent="0.2">
      <c r="B977" s="240"/>
      <c r="C977" s="240"/>
    </row>
    <row r="978" spans="2:3" ht="15.75" customHeight="1" x14ac:dyDescent="0.2">
      <c r="B978" s="240"/>
      <c r="C978" s="240"/>
    </row>
    <row r="979" spans="2:3" ht="15.75" customHeight="1" x14ac:dyDescent="0.2">
      <c r="B979" s="240"/>
      <c r="C979" s="240"/>
    </row>
    <row r="980" spans="2:3" ht="15.75" customHeight="1" x14ac:dyDescent="0.2">
      <c r="B980" s="240"/>
      <c r="C980" s="240"/>
    </row>
    <row r="981" spans="2:3" ht="15.75" customHeight="1" x14ac:dyDescent="0.2">
      <c r="B981" s="240"/>
      <c r="C981" s="240"/>
    </row>
    <row r="982" spans="2:3" ht="15.75" customHeight="1" x14ac:dyDescent="0.2">
      <c r="B982" s="240"/>
      <c r="C982" s="240"/>
    </row>
    <row r="983" spans="2:3" ht="15.75" customHeight="1" x14ac:dyDescent="0.2">
      <c r="B983" s="240"/>
      <c r="C983" s="240"/>
    </row>
    <row r="984" spans="2:3" ht="15.75" customHeight="1" x14ac:dyDescent="0.2">
      <c r="B984" s="240"/>
      <c r="C984" s="240"/>
    </row>
    <row r="985" spans="2:3" ht="15.75" customHeight="1" x14ac:dyDescent="0.2">
      <c r="B985" s="240"/>
      <c r="C985" s="240"/>
    </row>
    <row r="986" spans="2:3" ht="15.75" customHeight="1" x14ac:dyDescent="0.2">
      <c r="B986" s="240"/>
      <c r="C986" s="240"/>
    </row>
    <row r="987" spans="2:3" ht="15.75" customHeight="1" x14ac:dyDescent="0.2">
      <c r="B987" s="240"/>
      <c r="C987" s="240"/>
    </row>
    <row r="988" spans="2:3" ht="15.75" customHeight="1" x14ac:dyDescent="0.2">
      <c r="B988" s="240"/>
      <c r="C988" s="240"/>
    </row>
    <row r="989" spans="2:3" ht="15.75" customHeight="1" x14ac:dyDescent="0.2">
      <c r="B989" s="240"/>
      <c r="C989" s="240"/>
    </row>
    <row r="990" spans="2:3" ht="15.75" customHeight="1" x14ac:dyDescent="0.2">
      <c r="B990" s="240"/>
      <c r="C990" s="240"/>
    </row>
    <row r="991" spans="2:3" ht="15.75" customHeight="1" x14ac:dyDescent="0.2">
      <c r="B991" s="240"/>
      <c r="C991" s="240"/>
    </row>
    <row r="992" spans="2:3" ht="15.75" customHeight="1" x14ac:dyDescent="0.2">
      <c r="B992" s="240"/>
      <c r="C992" s="240"/>
    </row>
    <row r="993" spans="2:3" ht="15.75" customHeight="1" x14ac:dyDescent="0.2">
      <c r="B993" s="240"/>
      <c r="C993" s="240"/>
    </row>
    <row r="994" spans="2:3" ht="15.75" customHeight="1" x14ac:dyDescent="0.2">
      <c r="B994" s="240"/>
      <c r="C994" s="240"/>
    </row>
    <row r="995" spans="2:3" ht="15.75" customHeight="1" x14ac:dyDescent="0.2">
      <c r="B995" s="240"/>
      <c r="C995" s="240"/>
    </row>
    <row r="996" spans="2:3" ht="15.75" customHeight="1" x14ac:dyDescent="0.2">
      <c r="B996" s="240"/>
      <c r="C996" s="240"/>
    </row>
    <row r="997" spans="2:3" ht="15.75" customHeight="1" x14ac:dyDescent="0.2">
      <c r="B997" s="240"/>
      <c r="C997" s="240"/>
    </row>
    <row r="998" spans="2:3" ht="15.75" customHeight="1" x14ac:dyDescent="0.2"/>
    <row r="999" spans="2:3" ht="15.75" customHeight="1" x14ac:dyDescent="0.2"/>
    <row r="1000" spans="2:3" ht="15.75" customHeight="1" x14ac:dyDescent="0.2"/>
  </sheetData>
  <autoFilter ref="E11:G114" xr:uid="{00000000-0009-0000-0000-00000C000000}"/>
  <mergeCells count="11">
    <mergeCell ref="I21:J21"/>
    <mergeCell ref="L21:N21"/>
    <mergeCell ref="I26:J26"/>
    <mergeCell ref="L26:N26"/>
    <mergeCell ref="L27:N27"/>
    <mergeCell ref="L16:N16"/>
    <mergeCell ref="B2:N2"/>
    <mergeCell ref="B4:C4"/>
    <mergeCell ref="L4:M4"/>
    <mergeCell ref="I11:J11"/>
    <mergeCell ref="L11:N11"/>
  </mergeCells>
  <conditionalFormatting sqref="F8">
    <cfRule type="cellIs" dxfId="29" priority="4" operator="greaterThan">
      <formula>300</formula>
    </cfRule>
    <cfRule type="cellIs" dxfId="28" priority="5" operator="between">
      <formula>1</formula>
      <formula>300</formula>
    </cfRule>
    <cfRule type="cellIs" dxfId="27" priority="6" operator="lessThan">
      <formula>0</formula>
    </cfRule>
  </conditionalFormatting>
  <conditionalFormatting sqref="J9">
    <cfRule type="cellIs" dxfId="26" priority="1" operator="greaterThan">
      <formula>300</formula>
    </cfRule>
    <cfRule type="cellIs" dxfId="25" priority="2" operator="between">
      <formula>1</formula>
      <formula>300</formula>
    </cfRule>
    <cfRule type="cellIs" dxfId="24" priority="3" operator="lessThan">
      <formula>0</formula>
    </cfRule>
  </conditionalFormatting>
  <printOptions horizontalCentered="1"/>
  <pageMargins left="0.4" right="0.4" top="0.4" bottom="0.4" header="0" footer="0"/>
  <pageSetup fitToHeight="0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FF0F48F4-D2B6-4111-B86F-69C4C016C094}">
          <x14:formula1>
            <xm:f>list!$A$1:$A$9</xm:f>
          </x14:formula1>
          <xm:sqref>G12:G264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A9989-2B98-4247-A163-8981DFB1BA3C}">
  <sheetPr>
    <tabColor rgb="FF0070C0"/>
    <pageSetUpPr fitToPage="1"/>
  </sheetPr>
  <dimension ref="A1:W1000"/>
  <sheetViews>
    <sheetView showGridLines="0" zoomScale="85" zoomScaleNormal="85" workbookViewId="0">
      <selection activeCell="F8" sqref="F8"/>
    </sheetView>
  </sheetViews>
  <sheetFormatPr defaultColWidth="12.5703125" defaultRowHeight="15" customHeight="1" x14ac:dyDescent="0.2"/>
  <cols>
    <col min="1" max="1" width="13.85546875" style="240" customWidth="1"/>
    <col min="2" max="2" width="31.28515625" bestFit="1" customWidth="1"/>
    <col min="3" max="3" width="18.5703125" customWidth="1"/>
    <col min="4" max="4" width="3.5703125" style="244" customWidth="1"/>
    <col min="5" max="5" width="28" bestFit="1" customWidth="1"/>
    <col min="6" max="6" width="17.42578125" customWidth="1"/>
    <col min="7" max="7" width="22.7109375" bestFit="1" customWidth="1"/>
    <col min="8" max="8" width="3" style="244" customWidth="1"/>
    <col min="9" max="9" width="23.7109375" customWidth="1"/>
    <col min="10" max="10" width="19.42578125" customWidth="1"/>
    <col min="11" max="11" width="3" style="244" customWidth="1"/>
    <col min="12" max="12" width="17.85546875" bestFit="1" customWidth="1"/>
    <col min="13" max="13" width="16.42578125" bestFit="1" customWidth="1"/>
    <col min="14" max="14" width="11.5703125" bestFit="1" customWidth="1"/>
    <col min="15" max="15" width="115" style="240" customWidth="1"/>
    <col min="16" max="23" width="9.140625" customWidth="1"/>
    <col min="24" max="25" width="14.42578125" customWidth="1"/>
  </cols>
  <sheetData>
    <row r="1" spans="1:23" s="240" customFormat="1" ht="15" customHeight="1" thickBot="1" x14ac:dyDescent="0.25">
      <c r="A1" s="286"/>
      <c r="B1" s="295"/>
      <c r="C1" s="286"/>
      <c r="D1" s="296"/>
      <c r="E1" s="286"/>
      <c r="F1" s="286"/>
      <c r="G1" s="297"/>
      <c r="H1" s="296"/>
      <c r="I1" s="286"/>
      <c r="J1" s="286"/>
      <c r="K1" s="29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</row>
    <row r="2" spans="1:23" ht="37.5" customHeight="1" thickBot="1" x14ac:dyDescent="0.25">
      <c r="A2" s="287"/>
      <c r="B2" s="380" t="s">
        <v>75</v>
      </c>
      <c r="C2" s="381"/>
      <c r="D2" s="381"/>
      <c r="E2" s="381"/>
      <c r="F2" s="381"/>
      <c r="G2" s="381"/>
      <c r="H2" s="381"/>
      <c r="I2" s="381"/>
      <c r="J2" s="381"/>
      <c r="K2" s="381"/>
      <c r="L2" s="381"/>
      <c r="M2" s="381"/>
      <c r="N2" s="382"/>
      <c r="O2" s="306"/>
      <c r="P2" s="1"/>
      <c r="Q2" s="1"/>
      <c r="R2" s="1"/>
      <c r="S2" s="1"/>
      <c r="T2" s="1"/>
      <c r="U2" s="1"/>
      <c r="V2" s="1"/>
      <c r="W2" s="1"/>
    </row>
    <row r="3" spans="1:23" s="240" customFormat="1" ht="9" customHeight="1" thickBot="1" x14ac:dyDescent="0.25">
      <c r="A3" s="288"/>
      <c r="B3" s="298"/>
      <c r="C3" s="298"/>
      <c r="D3" s="299"/>
      <c r="E3" s="298"/>
      <c r="F3" s="298"/>
      <c r="G3" s="300"/>
      <c r="H3" s="299"/>
      <c r="I3" s="298"/>
      <c r="J3" s="298"/>
      <c r="K3" s="299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/>
    </row>
    <row r="4" spans="1:23" ht="24.75" customHeight="1" thickBot="1" x14ac:dyDescent="0.3">
      <c r="A4" s="288"/>
      <c r="B4" s="383" t="s">
        <v>59</v>
      </c>
      <c r="C4" s="384"/>
      <c r="E4" s="2" t="s">
        <v>43</v>
      </c>
      <c r="F4" s="2" t="s">
        <v>34</v>
      </c>
      <c r="G4" s="2" t="s">
        <v>127</v>
      </c>
      <c r="I4" s="2" t="s">
        <v>1</v>
      </c>
      <c r="J4" s="310"/>
      <c r="L4" s="385" t="s">
        <v>41</v>
      </c>
      <c r="M4" s="386"/>
      <c r="N4" s="269" t="s">
        <v>61</v>
      </c>
      <c r="Q4" s="71"/>
      <c r="S4" s="4"/>
      <c r="T4" s="4"/>
      <c r="U4" s="4"/>
      <c r="V4" s="4"/>
      <c r="W4" s="4"/>
    </row>
    <row r="5" spans="1:23" ht="23.25" customHeight="1" x14ac:dyDescent="0.2">
      <c r="A5" s="288"/>
      <c r="B5" s="56" t="s">
        <v>62</v>
      </c>
      <c r="C5" s="60">
        <v>3396.69</v>
      </c>
      <c r="E5" s="249" t="s">
        <v>63</v>
      </c>
      <c r="F5" s="252">
        <f>SUM(C12:C21)</f>
        <v>1156.46</v>
      </c>
      <c r="G5" s="274">
        <f>(F5/C9)*1</f>
        <v>4.8497246275982994E-2</v>
      </c>
      <c r="I5" s="262" t="s">
        <v>9</v>
      </c>
      <c r="J5" s="263">
        <v>14593.73</v>
      </c>
      <c r="L5" s="266">
        <v>3.56E-2</v>
      </c>
      <c r="M5" s="74">
        <v>31.47</v>
      </c>
      <c r="N5" s="75">
        <v>0</v>
      </c>
      <c r="Q5" s="71"/>
      <c r="S5" s="4"/>
      <c r="T5" s="4"/>
      <c r="U5" s="4"/>
      <c r="V5" s="4"/>
      <c r="W5" s="4"/>
    </row>
    <row r="6" spans="1:23" ht="23.25" customHeight="1" x14ac:dyDescent="0.2">
      <c r="A6" s="288"/>
      <c r="B6" s="57" t="s">
        <v>64</v>
      </c>
      <c r="C6" s="61">
        <v>1650.31</v>
      </c>
      <c r="E6" s="250" t="s">
        <v>65</v>
      </c>
      <c r="F6" s="253">
        <f>SUM(F12:F200)</f>
        <v>22689.430000000011</v>
      </c>
      <c r="G6" s="275">
        <f>(F6/C9)*1</f>
        <v>0.95150275372401749</v>
      </c>
      <c r="I6" s="264" t="s">
        <v>10</v>
      </c>
      <c r="J6" s="265">
        <v>10023.959999999999</v>
      </c>
      <c r="L6" s="267">
        <v>3.56E-2</v>
      </c>
      <c r="M6" s="76">
        <v>23.85</v>
      </c>
      <c r="N6" s="77">
        <v>0</v>
      </c>
      <c r="Q6" s="71"/>
      <c r="S6" s="4"/>
      <c r="T6" s="4"/>
      <c r="U6" s="4"/>
      <c r="V6" s="4"/>
      <c r="W6" s="4"/>
    </row>
    <row r="7" spans="1:23" ht="23.25" customHeight="1" thickBot="1" x14ac:dyDescent="0.25">
      <c r="A7" s="288"/>
      <c r="B7" s="58" t="s">
        <v>66</v>
      </c>
      <c r="C7" s="62">
        <f>173.2</f>
        <v>173.2</v>
      </c>
      <c r="E7" s="251" t="s">
        <v>67</v>
      </c>
      <c r="F7" s="254">
        <f>SUM(J22:J24)</f>
        <v>0</v>
      </c>
      <c r="G7" s="276">
        <f>(F7/C9)*1</f>
        <v>0</v>
      </c>
      <c r="I7" s="264" t="s">
        <v>11</v>
      </c>
      <c r="J7" s="265">
        <v>4868.99</v>
      </c>
      <c r="L7" s="267">
        <v>5.1200000000000002E-2</v>
      </c>
      <c r="M7" s="76">
        <v>18.059999999999999</v>
      </c>
      <c r="N7" s="77">
        <v>0</v>
      </c>
      <c r="Q7" s="71"/>
      <c r="S7" s="4"/>
      <c r="T7" s="4"/>
      <c r="U7" s="4"/>
      <c r="V7" s="4"/>
      <c r="W7" s="4"/>
    </row>
    <row r="8" spans="1:23" ht="23.25" customHeight="1" thickBot="1" x14ac:dyDescent="0.25">
      <c r="A8" s="288"/>
      <c r="B8" s="59" t="s">
        <v>68</v>
      </c>
      <c r="C8" s="63">
        <f>12937+5000+4.75+263.94+420</f>
        <v>18625.689999999999</v>
      </c>
      <c r="E8" s="258" t="s">
        <v>7</v>
      </c>
      <c r="F8" s="255">
        <f>(C9-(F5+F6))</f>
        <v>-1.0913936421275139E-11</v>
      </c>
      <c r="G8" s="273" t="s">
        <v>130</v>
      </c>
      <c r="I8" s="264" t="s">
        <v>90</v>
      </c>
      <c r="J8" s="265">
        <v>0</v>
      </c>
      <c r="L8" s="268">
        <v>4.3299999999999998E-2</v>
      </c>
      <c r="M8" s="78">
        <v>1.45</v>
      </c>
      <c r="N8" s="79">
        <v>0</v>
      </c>
      <c r="S8" s="4"/>
      <c r="T8" s="4"/>
      <c r="U8" s="4"/>
      <c r="V8" s="4"/>
      <c r="W8" s="4"/>
    </row>
    <row r="9" spans="1:23" ht="26.25" customHeight="1" thickBot="1" x14ac:dyDescent="0.25">
      <c r="A9" s="288"/>
      <c r="B9" s="256" t="s">
        <v>126</v>
      </c>
      <c r="C9" s="257">
        <f>SUM(C5:C8)</f>
        <v>23845.89</v>
      </c>
      <c r="E9" s="271" t="s">
        <v>92</v>
      </c>
      <c r="F9" s="272"/>
      <c r="G9" s="270"/>
      <c r="I9" s="259" t="s">
        <v>7</v>
      </c>
      <c r="J9" s="260">
        <f>SUM(J5:J8)</f>
        <v>29486.68</v>
      </c>
      <c r="L9" s="50" t="s">
        <v>34</v>
      </c>
      <c r="M9" s="73">
        <f>SUM(M5:M8)</f>
        <v>74.83</v>
      </c>
      <c r="N9" s="80">
        <f>SUM(N5:N8)</f>
        <v>0</v>
      </c>
      <c r="S9" s="4"/>
      <c r="T9" s="4"/>
      <c r="U9" s="4"/>
      <c r="V9" s="4"/>
      <c r="W9" s="4"/>
    </row>
    <row r="10" spans="1:23" s="240" customFormat="1" ht="9" customHeight="1" thickBot="1" x14ac:dyDescent="0.25">
      <c r="A10" s="288"/>
      <c r="B10" s="301"/>
      <c r="C10" s="301"/>
      <c r="D10" s="244"/>
      <c r="E10" s="298"/>
      <c r="F10" s="298"/>
      <c r="G10" s="300"/>
      <c r="H10" s="244"/>
      <c r="I10" s="298"/>
      <c r="J10" s="298"/>
      <c r="K10" s="244"/>
      <c r="L10" s="298"/>
      <c r="M10" s="298"/>
      <c r="N10" s="298"/>
      <c r="O10" s="298"/>
      <c r="P10" s="298"/>
      <c r="Q10" s="298"/>
      <c r="R10" s="298"/>
      <c r="S10" s="298"/>
      <c r="T10" s="298"/>
      <c r="U10" s="298"/>
      <c r="V10" s="298"/>
      <c r="W10" s="298"/>
    </row>
    <row r="11" spans="1:23" ht="22.5" customHeight="1" thickBot="1" x14ac:dyDescent="0.25">
      <c r="A11" s="289"/>
      <c r="B11" s="261" t="s">
        <v>70</v>
      </c>
      <c r="C11" s="53" t="s">
        <v>71</v>
      </c>
      <c r="D11" s="316" t="s">
        <v>131</v>
      </c>
      <c r="E11" s="333" t="s">
        <v>72</v>
      </c>
      <c r="F11" s="334" t="s">
        <v>71</v>
      </c>
      <c r="G11" s="335" t="s">
        <v>73</v>
      </c>
      <c r="H11" s="248"/>
      <c r="I11" s="387" t="s">
        <v>3</v>
      </c>
      <c r="J11" s="388"/>
      <c r="K11" s="248"/>
      <c r="L11" s="377" t="s">
        <v>74</v>
      </c>
      <c r="M11" s="378"/>
      <c r="N11" s="379"/>
      <c r="O11" s="307"/>
      <c r="P11" s="4"/>
      <c r="Q11" s="4"/>
      <c r="R11" s="4"/>
      <c r="S11" s="4"/>
      <c r="T11" s="4"/>
      <c r="U11" s="4"/>
      <c r="V11" s="4"/>
      <c r="W11" s="4"/>
    </row>
    <row r="12" spans="1:23" s="278" customFormat="1" ht="22.5" customHeight="1" x14ac:dyDescent="0.2">
      <c r="A12" s="290">
        <v>1</v>
      </c>
      <c r="B12" s="37" t="s">
        <v>12</v>
      </c>
      <c r="C12" s="349">
        <v>708.05</v>
      </c>
      <c r="D12" s="134">
        <v>1</v>
      </c>
      <c r="E12" s="199" t="s">
        <v>11</v>
      </c>
      <c r="F12" s="200">
        <v>132</v>
      </c>
      <c r="G12" s="201" t="s">
        <v>1</v>
      </c>
      <c r="H12" s="302"/>
      <c r="I12" s="323" t="s">
        <v>13</v>
      </c>
      <c r="J12" s="324">
        <f>SUMIF(G:G, "Groceries", F:F)</f>
        <v>560.14</v>
      </c>
      <c r="K12" s="302"/>
      <c r="L12" s="108" t="s">
        <v>81</v>
      </c>
      <c r="M12" s="109" t="s">
        <v>84</v>
      </c>
      <c r="N12" s="110" t="s">
        <v>85</v>
      </c>
      <c r="O12" s="308"/>
      <c r="P12" s="277"/>
      <c r="Q12" s="277"/>
      <c r="R12" s="277"/>
      <c r="S12" s="277"/>
      <c r="T12" s="277"/>
      <c r="U12" s="277"/>
      <c r="V12" s="277"/>
      <c r="W12" s="277"/>
    </row>
    <row r="13" spans="1:23" s="278" customFormat="1" ht="22.5" customHeight="1" x14ac:dyDescent="0.2">
      <c r="A13" s="290">
        <v>3</v>
      </c>
      <c r="B13" s="38" t="s">
        <v>138</v>
      </c>
      <c r="C13" s="348">
        <v>15.1</v>
      </c>
      <c r="D13" s="134">
        <v>1</v>
      </c>
      <c r="E13" s="180" t="s">
        <v>9</v>
      </c>
      <c r="F13" s="202">
        <v>1068</v>
      </c>
      <c r="G13" s="203" t="s">
        <v>1</v>
      </c>
      <c r="H13" s="302"/>
      <c r="I13" s="325" t="s">
        <v>128</v>
      </c>
      <c r="J13" s="326">
        <f>SUMIF(G:G, "Leisure / Days out", F:F)</f>
        <v>119.33999999999999</v>
      </c>
      <c r="K13" s="302"/>
      <c r="L13" s="108" t="s">
        <v>82</v>
      </c>
      <c r="M13" s="111">
        <v>1.1599999999999999</v>
      </c>
      <c r="N13" s="112">
        <v>1.1599999999999999</v>
      </c>
      <c r="O13" s="308"/>
      <c r="P13" s="277"/>
      <c r="Q13" s="277"/>
      <c r="R13" s="277"/>
      <c r="S13" s="277"/>
      <c r="T13" s="277"/>
      <c r="U13" s="277"/>
      <c r="V13" s="277"/>
      <c r="W13" s="277"/>
    </row>
    <row r="14" spans="1:23" s="278" customFormat="1" ht="22.5" customHeight="1" thickBot="1" x14ac:dyDescent="0.25">
      <c r="A14" s="290">
        <v>3</v>
      </c>
      <c r="B14" s="40" t="s">
        <v>139</v>
      </c>
      <c r="C14" s="350">
        <v>17.059999999999999</v>
      </c>
      <c r="D14" s="346">
        <v>2</v>
      </c>
      <c r="E14" s="179" t="s">
        <v>29</v>
      </c>
      <c r="F14" s="204">
        <v>241</v>
      </c>
      <c r="G14" s="205" t="s">
        <v>29</v>
      </c>
      <c r="H14" s="302"/>
      <c r="I14" s="325" t="s">
        <v>18</v>
      </c>
      <c r="J14" s="326">
        <f>SUMIF(G:G, "Others (Not essential)", F:F)</f>
        <v>1807.3900000000003</v>
      </c>
      <c r="K14" s="302"/>
      <c r="L14" s="113" t="s">
        <v>83</v>
      </c>
      <c r="M14" s="144">
        <v>5</v>
      </c>
      <c r="N14" s="115">
        <v>5.12</v>
      </c>
      <c r="O14" s="308"/>
      <c r="P14" s="277"/>
      <c r="Q14" s="277"/>
      <c r="R14" s="277"/>
      <c r="S14" s="277"/>
      <c r="T14" s="277"/>
      <c r="U14" s="277"/>
      <c r="V14" s="277"/>
      <c r="W14" s="277"/>
    </row>
    <row r="15" spans="1:23" s="278" customFormat="1" ht="22.5" customHeight="1" thickBot="1" x14ac:dyDescent="0.25">
      <c r="A15" s="290">
        <v>7</v>
      </c>
      <c r="B15" s="38" t="s">
        <v>136</v>
      </c>
      <c r="C15" s="348">
        <v>115.33</v>
      </c>
      <c r="D15" s="134">
        <v>1</v>
      </c>
      <c r="E15" s="180" t="s">
        <v>93</v>
      </c>
      <c r="F15" s="202">
        <v>100</v>
      </c>
      <c r="G15" s="203" t="s">
        <v>18</v>
      </c>
      <c r="H15" s="302"/>
      <c r="I15" s="325" t="s">
        <v>20</v>
      </c>
      <c r="J15" s="326">
        <f>SUMIF(G:G, "Others (Essential)", F:F)</f>
        <v>414.66999999999996</v>
      </c>
      <c r="K15" s="302"/>
      <c r="L15" s="246"/>
      <c r="M15" s="246"/>
      <c r="N15" s="308"/>
      <c r="O15" s="308"/>
      <c r="P15" s="277"/>
      <c r="Q15" s="277"/>
      <c r="R15" s="277"/>
      <c r="S15" s="277"/>
      <c r="T15" s="277"/>
      <c r="U15" s="277"/>
      <c r="V15" s="277"/>
      <c r="W15" s="277"/>
    </row>
    <row r="16" spans="1:23" s="278" customFormat="1" ht="22.5" customHeight="1" x14ac:dyDescent="0.2">
      <c r="A16" s="291">
        <v>11</v>
      </c>
      <c r="B16" s="40" t="s">
        <v>135</v>
      </c>
      <c r="C16" s="350">
        <v>168</v>
      </c>
      <c r="D16" s="345">
        <v>5</v>
      </c>
      <c r="E16" s="179" t="s">
        <v>143</v>
      </c>
      <c r="F16" s="204">
        <v>25</v>
      </c>
      <c r="G16" s="205" t="s">
        <v>20</v>
      </c>
      <c r="H16" s="302"/>
      <c r="I16" s="325" t="s">
        <v>22</v>
      </c>
      <c r="J16" s="326">
        <f>SUMIF(G:G, "Holidays", F:F)</f>
        <v>956.97</v>
      </c>
      <c r="K16" s="302"/>
      <c r="L16" s="377" t="s">
        <v>129</v>
      </c>
      <c r="M16" s="378"/>
      <c r="N16" s="379"/>
      <c r="O16" s="308"/>
      <c r="P16" s="277"/>
      <c r="Q16" s="277"/>
      <c r="R16" s="277"/>
      <c r="S16" s="277"/>
      <c r="T16" s="277"/>
      <c r="U16" s="277"/>
      <c r="V16" s="277"/>
      <c r="W16" s="277"/>
    </row>
    <row r="17" spans="1:23" s="278" customFormat="1" ht="22.5" customHeight="1" x14ac:dyDescent="0.2">
      <c r="A17" s="290">
        <v>17</v>
      </c>
      <c r="B17" s="38" t="s">
        <v>31</v>
      </c>
      <c r="C17" s="348">
        <v>21.94</v>
      </c>
      <c r="D17" s="134">
        <v>5</v>
      </c>
      <c r="E17" s="180" t="s">
        <v>144</v>
      </c>
      <c r="F17" s="202">
        <v>13.45</v>
      </c>
      <c r="G17" s="203" t="s">
        <v>18</v>
      </c>
      <c r="H17" s="302"/>
      <c r="I17" s="325" t="s">
        <v>25</v>
      </c>
      <c r="J17" s="326">
        <f>SUMIF(G:G, "Clothing", F:F)</f>
        <v>235.17000000000002</v>
      </c>
      <c r="K17" s="302"/>
      <c r="L17" s="108" t="s">
        <v>81</v>
      </c>
      <c r="M17" s="109" t="s">
        <v>84</v>
      </c>
      <c r="N17" s="110" t="s">
        <v>85</v>
      </c>
      <c r="O17" s="308"/>
      <c r="P17" s="277"/>
      <c r="Q17" s="277"/>
      <c r="R17" s="277"/>
      <c r="S17" s="277"/>
      <c r="T17" s="277"/>
      <c r="U17" s="277"/>
      <c r="V17" s="277"/>
      <c r="W17" s="277"/>
    </row>
    <row r="18" spans="1:23" s="278" customFormat="1" ht="22.5" customHeight="1" x14ac:dyDescent="0.2">
      <c r="A18" s="290">
        <v>22</v>
      </c>
      <c r="B18" s="40" t="s">
        <v>137</v>
      </c>
      <c r="C18" s="350">
        <v>66</v>
      </c>
      <c r="D18" s="134">
        <v>5</v>
      </c>
      <c r="E18" s="179" t="s">
        <v>145</v>
      </c>
      <c r="F18" s="204">
        <v>5</v>
      </c>
      <c r="G18" s="205" t="s">
        <v>20</v>
      </c>
      <c r="H18" s="302"/>
      <c r="I18" s="325" t="s">
        <v>1</v>
      </c>
      <c r="J18" s="326">
        <f>SUMIF(G:G, "Savings", F:F)</f>
        <v>18350</v>
      </c>
      <c r="K18" s="302"/>
      <c r="L18" s="108" t="s">
        <v>87</v>
      </c>
      <c r="M18" s="145">
        <v>3.5</v>
      </c>
      <c r="N18" s="112">
        <v>3.56</v>
      </c>
      <c r="O18" s="308"/>
      <c r="P18" s="277"/>
      <c r="Q18" s="277"/>
      <c r="R18" s="277"/>
      <c r="S18" s="277"/>
      <c r="T18" s="277"/>
      <c r="U18" s="277"/>
      <c r="V18" s="277"/>
      <c r="W18" s="277"/>
    </row>
    <row r="19" spans="1:23" s="278" customFormat="1" ht="22.5" customHeight="1" thickBot="1" x14ac:dyDescent="0.25">
      <c r="A19" s="290">
        <v>24</v>
      </c>
      <c r="B19" s="38" t="s">
        <v>33</v>
      </c>
      <c r="C19" s="359">
        <f>22.49+22.49</f>
        <v>44.98</v>
      </c>
      <c r="D19" s="134">
        <v>5</v>
      </c>
      <c r="E19" s="180" t="s">
        <v>146</v>
      </c>
      <c r="F19" s="202">
        <v>2.5</v>
      </c>
      <c r="G19" s="203" t="s">
        <v>18</v>
      </c>
      <c r="H19" s="302"/>
      <c r="I19" s="327" t="s">
        <v>29</v>
      </c>
      <c r="J19" s="328">
        <f>SUMIF(G:G, "Overpayment", F:F)</f>
        <v>241</v>
      </c>
      <c r="K19" s="302"/>
      <c r="L19" s="113" t="s">
        <v>88</v>
      </c>
      <c r="M19" s="114">
        <v>1.1499999999999999</v>
      </c>
      <c r="N19" s="115">
        <v>1.1599999999999999</v>
      </c>
      <c r="O19" s="308"/>
      <c r="P19" s="277"/>
      <c r="Q19" s="277"/>
      <c r="R19" s="277"/>
      <c r="S19" s="277"/>
      <c r="T19" s="277"/>
      <c r="U19" s="277"/>
      <c r="V19" s="277"/>
      <c r="W19" s="277"/>
    </row>
    <row r="20" spans="1:23" s="278" customFormat="1" ht="22.5" customHeight="1" thickBot="1" x14ac:dyDescent="0.25">
      <c r="A20" s="291"/>
      <c r="B20" s="40"/>
      <c r="C20" s="41"/>
      <c r="D20" s="134">
        <v>5</v>
      </c>
      <c r="E20" s="179" t="s">
        <v>147</v>
      </c>
      <c r="F20" s="204">
        <v>40</v>
      </c>
      <c r="G20" s="205" t="s">
        <v>20</v>
      </c>
      <c r="H20" s="302"/>
      <c r="I20" s="308"/>
      <c r="J20" s="308"/>
      <c r="K20" s="302"/>
      <c r="L20" s="308"/>
      <c r="M20" s="308"/>
      <c r="N20" s="308"/>
      <c r="O20" s="308"/>
      <c r="P20" s="277"/>
      <c r="Q20" s="277"/>
      <c r="R20" s="277"/>
      <c r="S20" s="277"/>
      <c r="T20" s="277"/>
      <c r="U20" s="277"/>
      <c r="V20" s="277"/>
      <c r="W20" s="277"/>
    </row>
    <row r="21" spans="1:23" s="278" customFormat="1" ht="22.5" customHeight="1" thickBot="1" x14ac:dyDescent="0.25">
      <c r="A21" s="292"/>
      <c r="B21" s="38"/>
      <c r="C21" s="39"/>
      <c r="D21" s="134">
        <v>5</v>
      </c>
      <c r="E21" s="180" t="s">
        <v>148</v>
      </c>
      <c r="F21" s="202">
        <v>9.08</v>
      </c>
      <c r="G21" s="203" t="s">
        <v>20</v>
      </c>
      <c r="H21" s="302"/>
      <c r="I21" s="389" t="s">
        <v>89</v>
      </c>
      <c r="J21" s="390"/>
      <c r="K21" s="302"/>
      <c r="L21" s="377" t="s">
        <v>86</v>
      </c>
      <c r="M21" s="378"/>
      <c r="N21" s="379"/>
      <c r="O21" s="308"/>
      <c r="P21" s="277"/>
      <c r="Q21" s="277"/>
      <c r="R21" s="277"/>
      <c r="S21" s="277"/>
      <c r="T21" s="277"/>
      <c r="U21" s="277"/>
      <c r="V21" s="277"/>
      <c r="W21" s="277"/>
    </row>
    <row r="22" spans="1:23" s="278" customFormat="1" ht="22.5" customHeight="1" x14ac:dyDescent="0.2">
      <c r="A22" s="292"/>
      <c r="B22" s="40"/>
      <c r="C22" s="41"/>
      <c r="D22" s="134">
        <v>6</v>
      </c>
      <c r="E22" s="179" t="s">
        <v>144</v>
      </c>
      <c r="F22" s="204">
        <v>11.99</v>
      </c>
      <c r="G22" s="205" t="s">
        <v>18</v>
      </c>
      <c r="H22" s="302"/>
      <c r="I22" s="279"/>
      <c r="J22" s="280"/>
      <c r="K22" s="302"/>
      <c r="L22" s="108" t="s">
        <v>81</v>
      </c>
      <c r="M22" s="109" t="s">
        <v>84</v>
      </c>
      <c r="N22" s="110" t="s">
        <v>85</v>
      </c>
      <c r="O22" s="308"/>
      <c r="P22" s="277"/>
      <c r="Q22" s="277"/>
      <c r="R22" s="277"/>
      <c r="S22" s="277"/>
      <c r="T22" s="277"/>
      <c r="U22" s="277"/>
      <c r="V22" s="277"/>
      <c r="W22" s="277"/>
    </row>
    <row r="23" spans="1:23" s="278" customFormat="1" ht="22.5" customHeight="1" thickBot="1" x14ac:dyDescent="0.25">
      <c r="A23" s="292"/>
      <c r="B23" s="42"/>
      <c r="C23" s="43"/>
      <c r="D23" s="134">
        <v>6</v>
      </c>
      <c r="E23" s="180" t="s">
        <v>149</v>
      </c>
      <c r="F23" s="202">
        <v>45</v>
      </c>
      <c r="G23" s="203" t="s">
        <v>13</v>
      </c>
      <c r="H23" s="302"/>
      <c r="I23" s="281"/>
      <c r="J23" s="282"/>
      <c r="K23" s="302"/>
      <c r="L23" s="108" t="s">
        <v>87</v>
      </c>
      <c r="M23" s="145">
        <v>3.5</v>
      </c>
      <c r="N23" s="112">
        <v>3.56</v>
      </c>
      <c r="O23" s="308"/>
      <c r="P23" s="277"/>
      <c r="Q23" s="277"/>
      <c r="R23" s="277"/>
      <c r="S23" s="277"/>
      <c r="T23" s="277"/>
      <c r="U23" s="277"/>
      <c r="V23" s="277"/>
      <c r="W23" s="277"/>
    </row>
    <row r="24" spans="1:23" s="278" customFormat="1" ht="22.5" customHeight="1" thickBot="1" x14ac:dyDescent="0.25">
      <c r="A24" s="292"/>
      <c r="B24" s="311"/>
      <c r="C24" s="317" t="s">
        <v>60</v>
      </c>
      <c r="D24" s="134">
        <v>6</v>
      </c>
      <c r="E24" s="179" t="s">
        <v>150</v>
      </c>
      <c r="F24" s="204">
        <v>60.19</v>
      </c>
      <c r="G24" s="205" t="s">
        <v>25</v>
      </c>
      <c r="H24" s="302"/>
      <c r="I24" s="283"/>
      <c r="J24" s="284"/>
      <c r="K24" s="302"/>
      <c r="L24" s="113" t="s">
        <v>88</v>
      </c>
      <c r="M24" s="114">
        <v>1.1499999999999999</v>
      </c>
      <c r="N24" s="115">
        <v>1.1599999999999999</v>
      </c>
      <c r="O24" s="308"/>
      <c r="P24" s="277"/>
      <c r="Q24" s="277"/>
      <c r="R24" s="277"/>
      <c r="S24" s="277"/>
      <c r="T24" s="277"/>
      <c r="U24" s="277"/>
      <c r="V24" s="277"/>
      <c r="W24" s="277"/>
    </row>
    <row r="25" spans="1:23" s="278" customFormat="1" ht="22.5" customHeight="1" thickBot="1" x14ac:dyDescent="0.25">
      <c r="A25" s="293"/>
      <c r="B25" s="317" t="s">
        <v>132</v>
      </c>
      <c r="C25" s="319">
        <v>1500</v>
      </c>
      <c r="D25" s="134">
        <v>7</v>
      </c>
      <c r="E25" s="180" t="s">
        <v>151</v>
      </c>
      <c r="F25" s="202">
        <v>0.97</v>
      </c>
      <c r="G25" s="203" t="s">
        <v>18</v>
      </c>
      <c r="H25" s="302"/>
      <c r="I25" s="246"/>
      <c r="J25" s="246"/>
      <c r="K25" s="302"/>
      <c r="L25" s="246"/>
      <c r="M25" s="246"/>
      <c r="N25" s="246"/>
      <c r="O25" s="308"/>
      <c r="P25" s="277"/>
      <c r="Q25" s="277"/>
      <c r="R25" s="277"/>
      <c r="S25" s="277"/>
      <c r="T25" s="277"/>
      <c r="U25" s="277"/>
      <c r="V25" s="277"/>
      <c r="W25" s="277"/>
    </row>
    <row r="26" spans="1:23" s="278" customFormat="1" ht="22.5" customHeight="1" thickBot="1" x14ac:dyDescent="0.25">
      <c r="A26" s="294"/>
      <c r="B26" s="318" t="s">
        <v>133</v>
      </c>
      <c r="C26" s="320">
        <v>1500</v>
      </c>
      <c r="D26" s="134">
        <v>7</v>
      </c>
      <c r="E26" s="179" t="s">
        <v>144</v>
      </c>
      <c r="F26" s="204">
        <v>19.93</v>
      </c>
      <c r="G26" s="205" t="s">
        <v>18</v>
      </c>
      <c r="H26" s="302"/>
      <c r="I26" s="389" t="s">
        <v>95</v>
      </c>
      <c r="J26" s="390"/>
      <c r="K26" s="302"/>
      <c r="L26" s="377" t="s">
        <v>182</v>
      </c>
      <c r="M26" s="378"/>
      <c r="N26" s="379"/>
      <c r="O26" s="308"/>
      <c r="P26" s="277"/>
      <c r="Q26" s="277"/>
      <c r="R26" s="277"/>
      <c r="S26" s="277"/>
      <c r="T26" s="277"/>
      <c r="U26" s="277"/>
      <c r="V26" s="277"/>
      <c r="W26" s="277"/>
    </row>
    <row r="27" spans="1:23" s="278" customFormat="1" ht="22.5" customHeight="1" thickBot="1" x14ac:dyDescent="0.25">
      <c r="A27" s="246"/>
      <c r="B27" s="317" t="s">
        <v>134</v>
      </c>
      <c r="C27" s="319">
        <v>848</v>
      </c>
      <c r="D27" s="134">
        <v>8</v>
      </c>
      <c r="E27" s="180" t="s">
        <v>152</v>
      </c>
      <c r="F27" s="202">
        <v>14.95</v>
      </c>
      <c r="G27" s="203" t="s">
        <v>128</v>
      </c>
      <c r="H27" s="302"/>
      <c r="I27" s="279"/>
      <c r="J27" s="280"/>
      <c r="K27" s="302"/>
      <c r="L27" s="391">
        <v>4.3299999999999998E-2</v>
      </c>
      <c r="M27" s="392"/>
      <c r="N27" s="393"/>
      <c r="O27" s="309"/>
      <c r="P27" s="285"/>
      <c r="Q27" s="285"/>
      <c r="R27" s="285"/>
      <c r="S27" s="285"/>
      <c r="T27" s="285"/>
      <c r="U27" s="285"/>
      <c r="V27" s="285"/>
      <c r="W27" s="285"/>
    </row>
    <row r="28" spans="1:23" s="278" customFormat="1" ht="22.5" customHeight="1" x14ac:dyDescent="0.2">
      <c r="A28" s="246"/>
      <c r="B28" s="246"/>
      <c r="C28" s="246"/>
      <c r="D28" s="134">
        <v>8</v>
      </c>
      <c r="E28" s="179" t="s">
        <v>153</v>
      </c>
      <c r="F28" s="204">
        <v>8.99</v>
      </c>
      <c r="G28" s="205" t="s">
        <v>128</v>
      </c>
      <c r="H28" s="302"/>
      <c r="I28" s="281"/>
      <c r="J28" s="282"/>
      <c r="K28" s="302"/>
      <c r="L28" s="240"/>
      <c r="M28" s="240"/>
      <c r="N28" s="240"/>
      <c r="O28" s="240"/>
      <c r="P28" s="285"/>
      <c r="Q28" s="285"/>
      <c r="R28" s="285"/>
      <c r="S28" s="285"/>
      <c r="T28" s="285"/>
      <c r="U28" s="285"/>
      <c r="V28" s="285"/>
      <c r="W28" s="285"/>
    </row>
    <row r="29" spans="1:23" s="278" customFormat="1" ht="22.5" customHeight="1" thickBot="1" x14ac:dyDescent="0.25">
      <c r="A29" s="294"/>
      <c r="B29" s="246"/>
      <c r="C29" s="246"/>
      <c r="D29" s="134">
        <v>9</v>
      </c>
      <c r="E29" s="180" t="s">
        <v>144</v>
      </c>
      <c r="F29" s="202">
        <v>11.34</v>
      </c>
      <c r="G29" s="203" t="s">
        <v>18</v>
      </c>
      <c r="H29" s="302"/>
      <c r="I29" s="283"/>
      <c r="J29" s="284"/>
      <c r="K29" s="302"/>
      <c r="L29" s="240"/>
      <c r="M29" s="240"/>
      <c r="N29" s="240"/>
      <c r="O29" s="240"/>
      <c r="P29" s="285"/>
      <c r="Q29" s="285"/>
      <c r="R29" s="285"/>
      <c r="S29" s="285"/>
      <c r="T29" s="285"/>
      <c r="U29" s="285"/>
      <c r="V29" s="285"/>
      <c r="W29" s="285"/>
    </row>
    <row r="30" spans="1:23" s="278" customFormat="1" ht="22.5" customHeight="1" x14ac:dyDescent="0.2">
      <c r="A30" s="294"/>
      <c r="B30" s="246"/>
      <c r="C30" s="246"/>
      <c r="D30" s="134">
        <v>9</v>
      </c>
      <c r="E30" s="179" t="s">
        <v>154</v>
      </c>
      <c r="F30" s="204">
        <v>260.86</v>
      </c>
      <c r="G30" s="205" t="s">
        <v>18</v>
      </c>
      <c r="H30" s="302"/>
      <c r="I30" s="246"/>
      <c r="J30" s="246"/>
      <c r="K30" s="302"/>
      <c r="L30" s="240"/>
      <c r="M30" s="240"/>
      <c r="N30" s="240"/>
      <c r="O30" s="240"/>
      <c r="P30" s="285"/>
      <c r="Q30" s="285"/>
      <c r="R30" s="285"/>
      <c r="S30" s="285"/>
      <c r="T30" s="285"/>
      <c r="U30" s="285"/>
      <c r="V30" s="285"/>
      <c r="W30" s="285"/>
    </row>
    <row r="31" spans="1:23" s="278" customFormat="1" ht="22.5" customHeight="1" x14ac:dyDescent="0.2">
      <c r="A31" s="294"/>
      <c r="B31" s="312"/>
      <c r="C31" s="313"/>
      <c r="D31" s="134">
        <v>12</v>
      </c>
      <c r="E31" s="180" t="s">
        <v>155</v>
      </c>
      <c r="F31" s="202">
        <v>956.97</v>
      </c>
      <c r="G31" s="203" t="s">
        <v>22</v>
      </c>
      <c r="H31" s="302"/>
      <c r="I31" s="246"/>
      <c r="J31" s="246"/>
      <c r="K31" s="302"/>
      <c r="L31" s="309"/>
      <c r="M31" s="309"/>
      <c r="N31" s="309"/>
      <c r="O31" s="309"/>
      <c r="P31" s="285"/>
      <c r="Q31" s="285"/>
      <c r="R31" s="285"/>
      <c r="S31" s="285"/>
      <c r="T31" s="285"/>
      <c r="U31" s="285"/>
      <c r="V31" s="285"/>
      <c r="W31" s="285"/>
    </row>
    <row r="32" spans="1:23" s="278" customFormat="1" ht="22.5" customHeight="1" x14ac:dyDescent="0.2">
      <c r="A32" s="294"/>
      <c r="B32" s="312"/>
      <c r="C32" s="314"/>
      <c r="D32" s="134">
        <v>12</v>
      </c>
      <c r="E32" s="179" t="s">
        <v>156</v>
      </c>
      <c r="F32" s="204"/>
      <c r="G32" s="205" t="s">
        <v>25</v>
      </c>
      <c r="H32" s="360" t="s">
        <v>186</v>
      </c>
      <c r="I32" s="246"/>
      <c r="J32" s="246"/>
      <c r="K32" s="302"/>
      <c r="L32" s="309"/>
      <c r="M32" s="309"/>
      <c r="N32" s="309"/>
      <c r="O32" s="309"/>
      <c r="P32" s="285"/>
      <c r="Q32" s="285"/>
      <c r="R32" s="285"/>
      <c r="S32" s="285"/>
      <c r="T32" s="285"/>
      <c r="U32" s="285"/>
      <c r="V32" s="285"/>
      <c r="W32" s="285"/>
    </row>
    <row r="33" spans="1:23" s="278" customFormat="1" ht="22.5" customHeight="1" x14ac:dyDescent="0.2">
      <c r="A33" s="294"/>
      <c r="B33" s="246"/>
      <c r="C33" s="315"/>
      <c r="D33" s="134">
        <v>12</v>
      </c>
      <c r="E33" s="180" t="s">
        <v>157</v>
      </c>
      <c r="F33" s="202">
        <v>3.87</v>
      </c>
      <c r="G33" s="203" t="s">
        <v>18</v>
      </c>
      <c r="H33" s="302"/>
      <c r="I33" s="246"/>
      <c r="J33" s="246"/>
      <c r="K33" s="302"/>
      <c r="L33" s="309"/>
      <c r="M33" s="309"/>
      <c r="N33" s="309"/>
      <c r="O33" s="309"/>
      <c r="P33" s="285"/>
      <c r="Q33" s="285"/>
      <c r="R33" s="285"/>
      <c r="S33" s="285"/>
      <c r="T33" s="285"/>
      <c r="U33" s="285"/>
      <c r="V33" s="285"/>
      <c r="W33" s="285"/>
    </row>
    <row r="34" spans="1:23" s="278" customFormat="1" ht="22.5" customHeight="1" x14ac:dyDescent="0.2">
      <c r="A34" s="294"/>
      <c r="B34" s="309"/>
      <c r="C34" s="309"/>
      <c r="D34" s="134">
        <v>12</v>
      </c>
      <c r="E34" s="179" t="s">
        <v>158</v>
      </c>
      <c r="F34" s="204">
        <v>60.02</v>
      </c>
      <c r="G34" s="205" t="s">
        <v>13</v>
      </c>
      <c r="H34" s="302"/>
      <c r="I34" s="246"/>
      <c r="J34" s="246"/>
      <c r="K34" s="302"/>
      <c r="L34" s="309"/>
      <c r="M34" s="309"/>
      <c r="N34" s="309"/>
      <c r="O34" s="309"/>
      <c r="P34" s="285"/>
      <c r="Q34" s="285"/>
      <c r="R34" s="285"/>
      <c r="S34" s="285"/>
      <c r="T34" s="285"/>
      <c r="U34" s="285"/>
      <c r="V34" s="285"/>
      <c r="W34" s="285"/>
    </row>
    <row r="35" spans="1:23" s="278" customFormat="1" ht="22.5" customHeight="1" x14ac:dyDescent="0.2">
      <c r="A35" s="294"/>
      <c r="B35" s="309"/>
      <c r="C35" s="309"/>
      <c r="D35" s="135">
        <v>2</v>
      </c>
      <c r="E35" s="180" t="s">
        <v>159</v>
      </c>
      <c r="F35" s="202">
        <v>31.5</v>
      </c>
      <c r="G35" s="203" t="s">
        <v>18</v>
      </c>
      <c r="H35" s="302"/>
      <c r="I35" s="246"/>
      <c r="J35" s="246"/>
      <c r="K35" s="302"/>
      <c r="L35" s="309"/>
      <c r="M35" s="309"/>
      <c r="N35" s="309"/>
      <c r="O35" s="309"/>
      <c r="P35" s="285"/>
      <c r="Q35" s="285"/>
      <c r="R35" s="285"/>
      <c r="S35" s="285"/>
      <c r="T35" s="285"/>
      <c r="U35" s="285"/>
      <c r="V35" s="285"/>
      <c r="W35" s="285"/>
    </row>
    <row r="36" spans="1:23" s="278" customFormat="1" ht="22.5" customHeight="1" x14ac:dyDescent="0.2">
      <c r="A36" s="294"/>
      <c r="B36" s="309"/>
      <c r="C36" s="309"/>
      <c r="D36" s="135">
        <v>2</v>
      </c>
      <c r="E36" s="179" t="s">
        <v>160</v>
      </c>
      <c r="F36" s="204">
        <v>44.68</v>
      </c>
      <c r="G36" s="205" t="s">
        <v>18</v>
      </c>
      <c r="H36" s="302"/>
      <c r="I36" s="246"/>
      <c r="J36" s="246"/>
      <c r="K36" s="302"/>
      <c r="L36" s="309"/>
      <c r="M36" s="309"/>
      <c r="N36" s="309"/>
      <c r="O36" s="309"/>
      <c r="P36" s="285"/>
      <c r="Q36" s="285"/>
      <c r="R36" s="285"/>
      <c r="S36" s="285"/>
      <c r="T36" s="285"/>
      <c r="U36" s="285"/>
      <c r="V36" s="285"/>
      <c r="W36" s="285"/>
    </row>
    <row r="37" spans="1:23" s="278" customFormat="1" ht="22.5" customHeight="1" x14ac:dyDescent="0.2">
      <c r="A37" s="294"/>
      <c r="B37" s="309"/>
      <c r="C37" s="309"/>
      <c r="D37" s="135">
        <v>2</v>
      </c>
      <c r="E37" s="180" t="s">
        <v>168</v>
      </c>
      <c r="F37" s="202">
        <v>50</v>
      </c>
      <c r="G37" s="203" t="s">
        <v>18</v>
      </c>
      <c r="H37" s="302"/>
      <c r="I37" s="246"/>
      <c r="J37" s="246"/>
      <c r="K37" s="302"/>
      <c r="L37" s="309"/>
      <c r="M37" s="309"/>
      <c r="N37" s="309"/>
      <c r="O37" s="309"/>
      <c r="P37" s="285"/>
      <c r="Q37" s="285"/>
      <c r="R37" s="285"/>
      <c r="S37" s="285"/>
      <c r="T37" s="285"/>
      <c r="U37" s="285"/>
      <c r="V37" s="285"/>
      <c r="W37" s="285"/>
    </row>
    <row r="38" spans="1:23" s="278" customFormat="1" ht="22.5" customHeight="1" x14ac:dyDescent="0.2">
      <c r="A38" s="294"/>
      <c r="B38" s="309"/>
      <c r="C38" s="309"/>
      <c r="D38" s="135">
        <v>5</v>
      </c>
      <c r="E38" s="179" t="s">
        <v>9</v>
      </c>
      <c r="F38" s="204">
        <v>4500</v>
      </c>
      <c r="G38" s="205" t="s">
        <v>1</v>
      </c>
      <c r="H38" s="302"/>
      <c r="I38" s="246"/>
      <c r="J38" s="246"/>
      <c r="K38" s="302"/>
      <c r="L38" s="309"/>
      <c r="M38" s="309"/>
      <c r="N38" s="309"/>
      <c r="O38" s="309"/>
      <c r="P38" s="285"/>
      <c r="Q38" s="285"/>
      <c r="R38" s="285"/>
      <c r="S38" s="285"/>
      <c r="T38" s="285"/>
      <c r="U38" s="285"/>
      <c r="V38" s="285"/>
      <c r="W38" s="285"/>
    </row>
    <row r="39" spans="1:23" s="278" customFormat="1" ht="22.5" customHeight="1" x14ac:dyDescent="0.2">
      <c r="A39" s="294"/>
      <c r="B39" s="309"/>
      <c r="C39" s="309"/>
      <c r="D39" s="135">
        <v>5</v>
      </c>
      <c r="E39" s="180" t="s">
        <v>161</v>
      </c>
      <c r="F39" s="202">
        <v>8.15</v>
      </c>
      <c r="G39" s="203" t="s">
        <v>128</v>
      </c>
      <c r="H39" s="302"/>
      <c r="I39" s="246"/>
      <c r="J39" s="246"/>
      <c r="K39" s="302"/>
      <c r="L39" s="309"/>
      <c r="M39" s="309"/>
      <c r="N39" s="309"/>
      <c r="O39" s="309"/>
      <c r="P39" s="285"/>
      <c r="Q39" s="285"/>
      <c r="R39" s="285"/>
      <c r="S39" s="285"/>
      <c r="T39" s="285"/>
      <c r="U39" s="285"/>
      <c r="V39" s="285"/>
      <c r="W39" s="285"/>
    </row>
    <row r="40" spans="1:23" s="278" customFormat="1" ht="22.5" customHeight="1" x14ac:dyDescent="0.2">
      <c r="A40" s="294"/>
      <c r="B40" s="309"/>
      <c r="C40" s="309"/>
      <c r="D40" s="135">
        <v>5</v>
      </c>
      <c r="E40" s="179" t="s">
        <v>161</v>
      </c>
      <c r="F40" s="204">
        <v>16.440000000000001</v>
      </c>
      <c r="G40" s="205" t="s">
        <v>128</v>
      </c>
      <c r="H40" s="302"/>
      <c r="I40" s="246"/>
      <c r="J40" s="246"/>
      <c r="K40" s="302"/>
      <c r="L40" s="309"/>
      <c r="M40" s="309"/>
      <c r="N40" s="309"/>
      <c r="O40" s="309"/>
      <c r="P40" s="285"/>
      <c r="Q40" s="285"/>
      <c r="R40" s="285"/>
      <c r="S40" s="285"/>
      <c r="T40" s="285"/>
      <c r="U40" s="285"/>
      <c r="V40" s="285"/>
      <c r="W40" s="285"/>
    </row>
    <row r="41" spans="1:23" s="278" customFormat="1" ht="22.5" customHeight="1" x14ac:dyDescent="0.2">
      <c r="A41" s="294"/>
      <c r="B41" s="309"/>
      <c r="C41" s="309"/>
      <c r="D41" s="135">
        <v>5</v>
      </c>
      <c r="E41" s="180" t="s">
        <v>145</v>
      </c>
      <c r="F41" s="202">
        <v>5</v>
      </c>
      <c r="G41" s="203" t="s">
        <v>18</v>
      </c>
      <c r="H41" s="302"/>
      <c r="I41" s="246"/>
      <c r="J41" s="246"/>
      <c r="K41" s="302"/>
      <c r="L41" s="309"/>
      <c r="M41" s="309"/>
      <c r="N41" s="309"/>
      <c r="O41" s="309"/>
      <c r="P41" s="285"/>
      <c r="Q41" s="285"/>
      <c r="R41" s="285"/>
      <c r="S41" s="285"/>
      <c r="T41" s="285"/>
      <c r="U41" s="285"/>
      <c r="V41" s="285"/>
      <c r="W41" s="285"/>
    </row>
    <row r="42" spans="1:23" s="278" customFormat="1" ht="22.5" customHeight="1" x14ac:dyDescent="0.2">
      <c r="A42" s="294"/>
      <c r="B42" s="309"/>
      <c r="C42" s="309"/>
      <c r="D42" s="135">
        <v>5</v>
      </c>
      <c r="E42" s="179" t="s">
        <v>162</v>
      </c>
      <c r="F42" s="204">
        <v>0.7</v>
      </c>
      <c r="G42" s="205" t="s">
        <v>128</v>
      </c>
      <c r="H42" s="302"/>
      <c r="I42" s="246"/>
      <c r="J42" s="246"/>
      <c r="K42" s="302"/>
      <c r="L42" s="309"/>
      <c r="M42" s="309"/>
      <c r="N42" s="309"/>
      <c r="O42" s="309"/>
      <c r="P42" s="285"/>
      <c r="Q42" s="285"/>
      <c r="R42" s="285"/>
      <c r="S42" s="285"/>
      <c r="T42" s="285"/>
      <c r="U42" s="285"/>
      <c r="V42" s="285"/>
      <c r="W42" s="285"/>
    </row>
    <row r="43" spans="1:23" s="278" customFormat="1" ht="22.5" customHeight="1" x14ac:dyDescent="0.2">
      <c r="A43" s="294"/>
      <c r="B43" s="309"/>
      <c r="C43" s="309"/>
      <c r="D43" s="135">
        <v>6</v>
      </c>
      <c r="E43" s="180" t="s">
        <v>163</v>
      </c>
      <c r="F43" s="202">
        <v>10</v>
      </c>
      <c r="G43" s="203" t="s">
        <v>18</v>
      </c>
      <c r="H43" s="302"/>
      <c r="I43" s="246"/>
      <c r="J43" s="246"/>
      <c r="K43" s="302"/>
      <c r="L43" s="309"/>
      <c r="M43" s="309"/>
      <c r="N43" s="309"/>
      <c r="O43" s="309"/>
      <c r="P43" s="285"/>
      <c r="Q43" s="285"/>
      <c r="R43" s="285"/>
      <c r="S43" s="285"/>
      <c r="T43" s="285"/>
      <c r="U43" s="285"/>
      <c r="V43" s="285"/>
      <c r="W43" s="285"/>
    </row>
    <row r="44" spans="1:23" s="278" customFormat="1" ht="22.5" customHeight="1" x14ac:dyDescent="0.2">
      <c r="A44" s="294"/>
      <c r="B44" s="309"/>
      <c r="C44" s="309"/>
      <c r="D44" s="135">
        <v>6</v>
      </c>
      <c r="E44" s="179" t="s">
        <v>164</v>
      </c>
      <c r="F44" s="204">
        <v>10</v>
      </c>
      <c r="G44" s="205" t="s">
        <v>18</v>
      </c>
      <c r="H44" s="302"/>
      <c r="I44" s="246"/>
      <c r="J44" s="246"/>
      <c r="K44" s="302"/>
      <c r="L44" s="309"/>
      <c r="M44" s="309"/>
      <c r="N44" s="309"/>
      <c r="O44" s="309"/>
      <c r="P44" s="285"/>
      <c r="Q44" s="285"/>
      <c r="R44" s="285"/>
      <c r="S44" s="285"/>
      <c r="T44" s="285"/>
      <c r="U44" s="285"/>
      <c r="V44" s="285"/>
      <c r="W44" s="285"/>
    </row>
    <row r="45" spans="1:23" s="278" customFormat="1" ht="22.5" customHeight="1" x14ac:dyDescent="0.2">
      <c r="A45" s="294"/>
      <c r="B45" s="309"/>
      <c r="C45" s="309"/>
      <c r="D45" s="135">
        <v>8</v>
      </c>
      <c r="E45" s="180" t="s">
        <v>165</v>
      </c>
      <c r="F45" s="202">
        <v>19.45</v>
      </c>
      <c r="G45" s="203" t="s">
        <v>18</v>
      </c>
      <c r="H45" s="302"/>
      <c r="I45" s="246"/>
      <c r="J45" s="246"/>
      <c r="K45" s="302"/>
      <c r="L45" s="309"/>
      <c r="M45" s="309"/>
      <c r="N45" s="309"/>
      <c r="O45" s="309"/>
      <c r="P45" s="285"/>
      <c r="Q45" s="285"/>
      <c r="R45" s="285"/>
      <c r="S45" s="285"/>
      <c r="T45" s="285"/>
      <c r="U45" s="285"/>
      <c r="V45" s="285"/>
      <c r="W45" s="285"/>
    </row>
    <row r="46" spans="1:23" s="278" customFormat="1" ht="22.5" customHeight="1" x14ac:dyDescent="0.2">
      <c r="A46" s="294"/>
      <c r="B46" s="309"/>
      <c r="C46" s="309"/>
      <c r="D46" s="347">
        <v>9</v>
      </c>
      <c r="E46" s="179" t="s">
        <v>9</v>
      </c>
      <c r="F46" s="204">
        <v>12000</v>
      </c>
      <c r="G46" s="205" t="s">
        <v>1</v>
      </c>
      <c r="H46" s="303"/>
      <c r="I46" s="246"/>
      <c r="J46" s="246"/>
      <c r="K46" s="303"/>
      <c r="L46" s="309"/>
      <c r="M46" s="309"/>
      <c r="N46" s="309"/>
      <c r="O46" s="309"/>
      <c r="P46" s="285"/>
      <c r="Q46" s="285"/>
      <c r="R46" s="285"/>
      <c r="S46" s="285"/>
      <c r="T46" s="285"/>
      <c r="U46" s="285"/>
      <c r="V46" s="285"/>
      <c r="W46" s="285"/>
    </row>
    <row r="47" spans="1:23" s="278" customFormat="1" ht="22.5" customHeight="1" x14ac:dyDescent="0.2">
      <c r="A47" s="294"/>
      <c r="B47" s="309"/>
      <c r="C47" s="309"/>
      <c r="D47" s="347">
        <v>9</v>
      </c>
      <c r="E47" s="180" t="s">
        <v>166</v>
      </c>
      <c r="F47" s="202">
        <v>2.0499999999999998</v>
      </c>
      <c r="G47" s="203" t="s">
        <v>18</v>
      </c>
      <c r="H47" s="303"/>
      <c r="I47" s="246"/>
      <c r="J47" s="246"/>
      <c r="K47" s="303"/>
      <c r="L47" s="309"/>
      <c r="M47" s="309"/>
      <c r="N47" s="309"/>
      <c r="O47" s="309"/>
      <c r="P47" s="285"/>
      <c r="Q47" s="285"/>
      <c r="R47" s="285"/>
      <c r="S47" s="285"/>
      <c r="T47" s="285"/>
      <c r="U47" s="285"/>
      <c r="V47" s="285"/>
      <c r="W47" s="285"/>
    </row>
    <row r="48" spans="1:23" s="278" customFormat="1" ht="22.5" customHeight="1" x14ac:dyDescent="0.2">
      <c r="A48" s="294"/>
      <c r="B48" s="309"/>
      <c r="C48" s="309"/>
      <c r="D48" s="347">
        <v>9</v>
      </c>
      <c r="E48" s="179" t="s">
        <v>167</v>
      </c>
      <c r="F48" s="204">
        <v>125</v>
      </c>
      <c r="G48" s="205" t="s">
        <v>18</v>
      </c>
      <c r="H48" s="303"/>
      <c r="I48" s="246"/>
      <c r="J48" s="246"/>
      <c r="K48" s="303"/>
      <c r="L48" s="309"/>
      <c r="M48" s="309"/>
      <c r="N48" s="309"/>
      <c r="O48" s="309"/>
      <c r="P48" s="285"/>
      <c r="Q48" s="285"/>
      <c r="R48" s="285"/>
      <c r="S48" s="285"/>
      <c r="T48" s="285"/>
      <c r="U48" s="285"/>
      <c r="V48" s="285"/>
      <c r="W48" s="285"/>
    </row>
    <row r="49" spans="1:23" s="278" customFormat="1" ht="22.5" customHeight="1" x14ac:dyDescent="0.2">
      <c r="A49" s="294"/>
      <c r="B49" s="309"/>
      <c r="C49" s="309"/>
      <c r="D49" s="351">
        <v>11</v>
      </c>
      <c r="E49" s="180" t="s">
        <v>93</v>
      </c>
      <c r="F49" s="202">
        <v>100</v>
      </c>
      <c r="G49" s="203" t="s">
        <v>25</v>
      </c>
      <c r="H49" s="303"/>
      <c r="I49" s="246"/>
      <c r="J49" s="246"/>
      <c r="K49" s="303"/>
      <c r="L49" s="309"/>
      <c r="M49" s="309"/>
      <c r="N49" s="309"/>
      <c r="O49" s="309"/>
      <c r="P49" s="285"/>
      <c r="Q49" s="285"/>
      <c r="R49" s="285"/>
      <c r="S49" s="285"/>
      <c r="T49" s="285"/>
      <c r="U49" s="285"/>
      <c r="V49" s="285"/>
      <c r="W49" s="285"/>
    </row>
    <row r="50" spans="1:23" s="278" customFormat="1" ht="22.5" customHeight="1" x14ac:dyDescent="0.2">
      <c r="A50" s="294"/>
      <c r="B50" s="309"/>
      <c r="C50" s="309"/>
      <c r="D50" s="351">
        <v>11</v>
      </c>
      <c r="E50" s="179" t="s">
        <v>9</v>
      </c>
      <c r="F50" s="204">
        <v>350</v>
      </c>
      <c r="G50" s="205" t="s">
        <v>1</v>
      </c>
      <c r="H50" s="303"/>
      <c r="I50" s="246"/>
      <c r="J50" s="246"/>
      <c r="K50" s="303"/>
      <c r="L50" s="309"/>
      <c r="M50" s="309"/>
      <c r="N50" s="309"/>
      <c r="O50" s="309"/>
      <c r="P50" s="285"/>
      <c r="Q50" s="285"/>
      <c r="R50" s="285"/>
      <c r="S50" s="285"/>
      <c r="T50" s="285"/>
      <c r="U50" s="285"/>
      <c r="V50" s="285"/>
      <c r="W50" s="285"/>
    </row>
    <row r="51" spans="1:23" s="278" customFormat="1" ht="22.5" customHeight="1" x14ac:dyDescent="0.2">
      <c r="A51" s="294"/>
      <c r="B51" s="309"/>
      <c r="C51" s="309"/>
      <c r="D51" s="358">
        <v>12</v>
      </c>
      <c r="E51" s="180" t="s">
        <v>172</v>
      </c>
      <c r="F51" s="202">
        <v>101.59</v>
      </c>
      <c r="G51" s="203" t="s">
        <v>13</v>
      </c>
      <c r="H51" s="303"/>
      <c r="I51" s="309"/>
      <c r="J51" s="309"/>
      <c r="K51" s="303"/>
      <c r="L51" s="309"/>
      <c r="M51" s="309"/>
      <c r="N51" s="309"/>
      <c r="O51" s="309"/>
      <c r="P51" s="285"/>
      <c r="Q51" s="285"/>
      <c r="R51" s="285"/>
      <c r="S51" s="285"/>
      <c r="T51" s="285"/>
      <c r="U51" s="285"/>
      <c r="V51" s="285"/>
      <c r="W51" s="285"/>
    </row>
    <row r="52" spans="1:23" s="278" customFormat="1" ht="22.5" customHeight="1" x14ac:dyDescent="0.2">
      <c r="A52" s="294"/>
      <c r="B52" s="309"/>
      <c r="C52" s="309"/>
      <c r="D52" s="358">
        <v>13</v>
      </c>
      <c r="E52" s="179" t="s">
        <v>144</v>
      </c>
      <c r="F52" s="204">
        <v>9.49</v>
      </c>
      <c r="G52" s="205" t="s">
        <v>18</v>
      </c>
      <c r="H52" s="303"/>
      <c r="I52" s="309"/>
      <c r="J52" s="309"/>
      <c r="K52" s="303"/>
      <c r="L52" s="309"/>
      <c r="M52" s="309"/>
      <c r="N52" s="309"/>
      <c r="O52" s="309"/>
      <c r="P52" s="285"/>
      <c r="Q52" s="285"/>
      <c r="R52" s="285"/>
      <c r="S52" s="285"/>
      <c r="T52" s="285"/>
      <c r="U52" s="285"/>
      <c r="V52" s="285"/>
      <c r="W52" s="285"/>
    </row>
    <row r="53" spans="1:23" s="278" customFormat="1" ht="22.5" customHeight="1" x14ac:dyDescent="0.2">
      <c r="A53" s="294"/>
      <c r="B53" s="309"/>
      <c r="C53" s="309"/>
      <c r="D53" s="358">
        <v>13</v>
      </c>
      <c r="E53" s="180" t="s">
        <v>144</v>
      </c>
      <c r="F53" s="202">
        <v>13.99</v>
      </c>
      <c r="G53" s="203" t="s">
        <v>18</v>
      </c>
      <c r="H53" s="303"/>
      <c r="I53" s="309"/>
      <c r="J53" s="309"/>
      <c r="K53" s="303"/>
      <c r="L53" s="309"/>
      <c r="M53" s="309"/>
      <c r="N53" s="309"/>
      <c r="O53" s="309"/>
      <c r="P53" s="285"/>
      <c r="Q53" s="285"/>
      <c r="R53" s="285"/>
      <c r="S53" s="285"/>
      <c r="T53" s="285"/>
      <c r="U53" s="285"/>
      <c r="V53" s="285"/>
      <c r="W53" s="285"/>
    </row>
    <row r="54" spans="1:23" s="278" customFormat="1" ht="22.5" customHeight="1" x14ac:dyDescent="0.2">
      <c r="A54" s="294"/>
      <c r="B54" s="309"/>
      <c r="C54" s="309"/>
      <c r="D54" s="358">
        <v>13</v>
      </c>
      <c r="E54" s="179" t="s">
        <v>173</v>
      </c>
      <c r="F54" s="204">
        <v>75</v>
      </c>
      <c r="G54" s="205" t="s">
        <v>18</v>
      </c>
      <c r="H54" s="303"/>
      <c r="I54" s="309"/>
      <c r="J54" s="309"/>
      <c r="K54" s="303"/>
      <c r="L54" s="309"/>
      <c r="M54" s="309"/>
      <c r="N54" s="309"/>
      <c r="O54" s="309"/>
      <c r="P54" s="285"/>
      <c r="Q54" s="285"/>
      <c r="R54" s="285"/>
      <c r="S54" s="285"/>
      <c r="T54" s="285"/>
      <c r="U54" s="285"/>
      <c r="V54" s="285"/>
      <c r="W54" s="285"/>
    </row>
    <row r="55" spans="1:23" s="278" customFormat="1" ht="22.5" customHeight="1" x14ac:dyDescent="0.2">
      <c r="A55" s="294"/>
      <c r="B55" s="309"/>
      <c r="C55" s="309"/>
      <c r="D55" s="358">
        <v>14</v>
      </c>
      <c r="E55" s="180" t="s">
        <v>144</v>
      </c>
      <c r="F55" s="202">
        <v>7.35</v>
      </c>
      <c r="G55" s="203" t="s">
        <v>18</v>
      </c>
      <c r="H55" s="303"/>
      <c r="I55" s="309"/>
      <c r="J55" s="309"/>
      <c r="K55" s="303"/>
      <c r="L55" s="309"/>
      <c r="M55" s="309"/>
      <c r="N55" s="309"/>
      <c r="O55" s="309"/>
      <c r="P55" s="285"/>
      <c r="Q55" s="285"/>
      <c r="R55" s="285"/>
      <c r="S55" s="285"/>
      <c r="T55" s="285"/>
      <c r="U55" s="285"/>
      <c r="V55" s="285"/>
      <c r="W55" s="285"/>
    </row>
    <row r="56" spans="1:23" s="278" customFormat="1" ht="22.5" customHeight="1" x14ac:dyDescent="0.2">
      <c r="A56" s="294"/>
      <c r="B56" s="309"/>
      <c r="C56" s="309"/>
      <c r="D56" s="358">
        <v>14</v>
      </c>
      <c r="E56" s="179" t="s">
        <v>144</v>
      </c>
      <c r="F56" s="204">
        <v>4.5</v>
      </c>
      <c r="G56" s="205" t="s">
        <v>18</v>
      </c>
      <c r="H56" s="303"/>
      <c r="I56" s="309"/>
      <c r="J56" s="309"/>
      <c r="K56" s="303"/>
      <c r="L56" s="309"/>
      <c r="M56" s="309"/>
      <c r="N56" s="309"/>
      <c r="O56" s="309"/>
      <c r="P56" s="285"/>
      <c r="Q56" s="285"/>
      <c r="R56" s="285"/>
      <c r="S56" s="285"/>
      <c r="T56" s="285"/>
      <c r="U56" s="285"/>
      <c r="V56" s="285"/>
      <c r="W56" s="285"/>
    </row>
    <row r="57" spans="1:23" s="278" customFormat="1" ht="22.5" customHeight="1" x14ac:dyDescent="0.2">
      <c r="A57" s="294"/>
      <c r="B57" s="309"/>
      <c r="C57" s="309"/>
      <c r="D57" s="358">
        <v>14</v>
      </c>
      <c r="E57" s="180" t="s">
        <v>174</v>
      </c>
      <c r="F57" s="202">
        <v>20</v>
      </c>
      <c r="G57" s="203" t="s">
        <v>18</v>
      </c>
      <c r="H57" s="303"/>
      <c r="I57" s="309"/>
      <c r="J57" s="309"/>
      <c r="K57" s="303"/>
      <c r="L57" s="309"/>
      <c r="M57" s="309"/>
      <c r="N57" s="309"/>
      <c r="O57" s="309"/>
      <c r="P57" s="285"/>
      <c r="Q57" s="285"/>
      <c r="R57" s="285"/>
      <c r="S57" s="285"/>
      <c r="T57" s="285"/>
      <c r="U57" s="285"/>
      <c r="V57" s="285"/>
      <c r="W57" s="285"/>
    </row>
    <row r="58" spans="1:23" s="278" customFormat="1" ht="22.5" customHeight="1" x14ac:dyDescent="0.2">
      <c r="A58" s="294"/>
      <c r="B58" s="309"/>
      <c r="C58" s="309"/>
      <c r="D58" s="358">
        <v>14</v>
      </c>
      <c r="E58" s="179" t="s">
        <v>151</v>
      </c>
      <c r="F58" s="204">
        <v>19.96</v>
      </c>
      <c r="G58" s="205" t="s">
        <v>18</v>
      </c>
      <c r="H58" s="303"/>
      <c r="I58" s="309"/>
      <c r="J58" s="309"/>
      <c r="K58" s="303"/>
      <c r="L58" s="309"/>
      <c r="M58" s="309"/>
      <c r="N58" s="309"/>
      <c r="O58" s="309"/>
      <c r="P58" s="285"/>
      <c r="Q58" s="285"/>
      <c r="R58" s="285"/>
      <c r="S58" s="285"/>
      <c r="T58" s="285"/>
      <c r="U58" s="285"/>
      <c r="V58" s="285"/>
      <c r="W58" s="285"/>
    </row>
    <row r="59" spans="1:23" s="278" customFormat="1" ht="22.5" customHeight="1" x14ac:dyDescent="0.2">
      <c r="A59" s="294"/>
      <c r="B59" s="309"/>
      <c r="C59" s="309"/>
      <c r="D59" s="358">
        <v>14</v>
      </c>
      <c r="E59" s="180" t="s">
        <v>175</v>
      </c>
      <c r="F59" s="202">
        <v>24.79</v>
      </c>
      <c r="G59" s="203" t="s">
        <v>18</v>
      </c>
      <c r="H59" s="303"/>
      <c r="I59" s="309"/>
      <c r="J59" s="309"/>
      <c r="K59" s="303"/>
      <c r="L59" s="309"/>
      <c r="M59" s="309"/>
      <c r="N59" s="309"/>
      <c r="O59" s="309"/>
      <c r="P59" s="285"/>
      <c r="Q59" s="285"/>
      <c r="R59" s="285"/>
      <c r="S59" s="285"/>
      <c r="T59" s="285"/>
      <c r="U59" s="285"/>
      <c r="V59" s="285"/>
      <c r="W59" s="285"/>
    </row>
    <row r="60" spans="1:23" s="278" customFormat="1" ht="22.5" customHeight="1" x14ac:dyDescent="0.2">
      <c r="A60" s="294"/>
      <c r="B60" s="309"/>
      <c r="C60" s="309"/>
      <c r="D60" s="358">
        <v>16</v>
      </c>
      <c r="E60" s="179" t="s">
        <v>176</v>
      </c>
      <c r="F60" s="204">
        <v>3.3</v>
      </c>
      <c r="G60" s="205" t="s">
        <v>20</v>
      </c>
      <c r="H60" s="303"/>
      <c r="I60" s="309"/>
      <c r="J60" s="309"/>
      <c r="K60" s="303"/>
      <c r="L60" s="309"/>
      <c r="M60" s="309"/>
      <c r="N60" s="309"/>
      <c r="O60" s="309"/>
      <c r="P60" s="285"/>
      <c r="Q60" s="285"/>
      <c r="R60" s="285"/>
      <c r="S60" s="285"/>
      <c r="T60" s="285"/>
      <c r="U60" s="285"/>
      <c r="V60" s="285"/>
      <c r="W60" s="285"/>
    </row>
    <row r="61" spans="1:23" s="278" customFormat="1" ht="22.5" customHeight="1" x14ac:dyDescent="0.2">
      <c r="A61" s="294"/>
      <c r="B61" s="309"/>
      <c r="C61" s="309"/>
      <c r="D61" s="358">
        <v>18</v>
      </c>
      <c r="E61" s="180" t="s">
        <v>176</v>
      </c>
      <c r="F61" s="202">
        <v>3.3</v>
      </c>
      <c r="G61" s="203" t="s">
        <v>20</v>
      </c>
      <c r="H61" s="303"/>
      <c r="I61" s="309"/>
      <c r="J61" s="309"/>
      <c r="K61" s="303"/>
      <c r="L61" s="309"/>
      <c r="M61" s="309"/>
      <c r="N61" s="309"/>
      <c r="O61" s="309"/>
      <c r="P61" s="285"/>
      <c r="Q61" s="285"/>
      <c r="R61" s="285"/>
      <c r="S61" s="285"/>
      <c r="T61" s="285"/>
      <c r="U61" s="285"/>
      <c r="V61" s="285"/>
      <c r="W61" s="285"/>
    </row>
    <row r="62" spans="1:23" s="278" customFormat="1" ht="22.5" customHeight="1" x14ac:dyDescent="0.2">
      <c r="A62" s="294"/>
      <c r="B62" s="309"/>
      <c r="C62" s="309"/>
      <c r="D62" s="358">
        <v>18</v>
      </c>
      <c r="E62" s="179" t="s">
        <v>177</v>
      </c>
      <c r="F62" s="204">
        <v>7.72</v>
      </c>
      <c r="G62" s="205" t="s">
        <v>18</v>
      </c>
      <c r="H62" s="303"/>
      <c r="I62" s="309"/>
      <c r="J62" s="309"/>
      <c r="K62" s="303"/>
      <c r="L62" s="309"/>
      <c r="M62" s="309"/>
      <c r="N62" s="309"/>
      <c r="O62" s="309"/>
      <c r="P62" s="285"/>
      <c r="Q62" s="285"/>
      <c r="R62" s="285"/>
      <c r="S62" s="285"/>
      <c r="T62" s="285"/>
      <c r="U62" s="285"/>
      <c r="V62" s="285"/>
      <c r="W62" s="285"/>
    </row>
    <row r="63" spans="1:23" s="278" customFormat="1" ht="22.5" customHeight="1" x14ac:dyDescent="0.2">
      <c r="A63" s="294"/>
      <c r="B63" s="309"/>
      <c r="C63" s="309"/>
      <c r="D63" s="358">
        <v>18</v>
      </c>
      <c r="E63" s="180" t="s">
        <v>144</v>
      </c>
      <c r="F63" s="202">
        <v>13.34</v>
      </c>
      <c r="G63" s="203" t="s">
        <v>18</v>
      </c>
      <c r="H63" s="303"/>
      <c r="I63" s="309"/>
      <c r="J63" s="309"/>
      <c r="K63" s="303"/>
      <c r="L63" s="309"/>
      <c r="M63" s="309"/>
      <c r="N63" s="309"/>
      <c r="O63" s="309"/>
      <c r="P63" s="285"/>
      <c r="Q63" s="285"/>
      <c r="R63" s="285"/>
      <c r="S63" s="285"/>
      <c r="T63" s="285"/>
      <c r="U63" s="285"/>
      <c r="V63" s="285"/>
      <c r="W63" s="285"/>
    </row>
    <row r="64" spans="1:23" s="278" customFormat="1" ht="22.5" customHeight="1" x14ac:dyDescent="0.2">
      <c r="A64" s="294"/>
      <c r="B64" s="309"/>
      <c r="C64" s="309"/>
      <c r="D64" s="134">
        <v>18</v>
      </c>
      <c r="E64" s="179" t="s">
        <v>178</v>
      </c>
      <c r="F64" s="204">
        <v>40.65</v>
      </c>
      <c r="G64" s="205" t="s">
        <v>128</v>
      </c>
      <c r="H64" s="302"/>
      <c r="I64" s="309"/>
      <c r="J64" s="309"/>
      <c r="K64" s="302"/>
      <c r="L64" s="309"/>
      <c r="M64" s="309"/>
      <c r="N64" s="309"/>
      <c r="O64" s="309"/>
      <c r="P64" s="285"/>
      <c r="Q64" s="285"/>
      <c r="R64" s="285"/>
      <c r="S64" s="285"/>
      <c r="T64" s="285"/>
      <c r="U64" s="285"/>
      <c r="V64" s="285"/>
      <c r="W64" s="285"/>
    </row>
    <row r="65" spans="1:23" s="278" customFormat="1" ht="22.5" customHeight="1" x14ac:dyDescent="0.2">
      <c r="A65" s="294"/>
      <c r="B65" s="309"/>
      <c r="C65" s="309"/>
      <c r="D65" s="134">
        <v>18</v>
      </c>
      <c r="E65" s="180" t="s">
        <v>158</v>
      </c>
      <c r="F65" s="202">
        <v>25.47</v>
      </c>
      <c r="G65" s="203" t="s">
        <v>18</v>
      </c>
      <c r="H65" s="302"/>
      <c r="I65" s="309"/>
      <c r="J65" s="309"/>
      <c r="K65" s="302"/>
      <c r="L65" s="309"/>
      <c r="M65" s="309"/>
      <c r="N65" s="309"/>
      <c r="O65" s="309"/>
      <c r="P65" s="285"/>
      <c r="Q65" s="285"/>
      <c r="R65" s="285"/>
      <c r="S65" s="285"/>
      <c r="T65" s="285"/>
      <c r="U65" s="285"/>
      <c r="V65" s="285"/>
      <c r="W65" s="285"/>
    </row>
    <row r="66" spans="1:23" s="278" customFormat="1" ht="22.5" customHeight="1" x14ac:dyDescent="0.2">
      <c r="A66" s="294"/>
      <c r="B66" s="309"/>
      <c r="C66" s="309"/>
      <c r="D66" s="134">
        <v>18</v>
      </c>
      <c r="E66" s="179" t="s">
        <v>179</v>
      </c>
      <c r="F66" s="204">
        <v>36.99</v>
      </c>
      <c r="G66" s="205" t="s">
        <v>18</v>
      </c>
      <c r="H66" s="302"/>
      <c r="I66" s="309"/>
      <c r="J66" s="309"/>
      <c r="K66" s="302"/>
      <c r="L66" s="309"/>
      <c r="M66" s="309"/>
      <c r="N66" s="309"/>
      <c r="O66" s="309"/>
      <c r="P66" s="285"/>
      <c r="Q66" s="285"/>
      <c r="R66" s="285"/>
      <c r="S66" s="285"/>
      <c r="T66" s="285"/>
      <c r="U66" s="285"/>
      <c r="V66" s="285"/>
      <c r="W66" s="285"/>
    </row>
    <row r="67" spans="1:23" s="278" customFormat="1" ht="22.5" customHeight="1" x14ac:dyDescent="0.2">
      <c r="A67" s="294"/>
      <c r="B67" s="309"/>
      <c r="C67" s="309"/>
      <c r="D67" s="346">
        <v>14</v>
      </c>
      <c r="E67" s="180" t="s">
        <v>180</v>
      </c>
      <c r="F67" s="202">
        <v>5.99</v>
      </c>
      <c r="G67" s="203" t="s">
        <v>128</v>
      </c>
      <c r="H67" s="302"/>
      <c r="I67" s="309"/>
      <c r="J67" s="309"/>
      <c r="K67" s="302"/>
      <c r="L67" s="309"/>
      <c r="M67" s="309"/>
      <c r="N67" s="309"/>
      <c r="O67" s="309"/>
      <c r="P67" s="285"/>
      <c r="Q67" s="285"/>
      <c r="R67" s="285"/>
      <c r="S67" s="285"/>
      <c r="T67" s="285"/>
      <c r="U67" s="285"/>
      <c r="V67" s="285"/>
      <c r="W67" s="285"/>
    </row>
    <row r="68" spans="1:23" s="278" customFormat="1" ht="22.5" customHeight="1" x14ac:dyDescent="0.2">
      <c r="A68" s="294"/>
      <c r="B68" s="309"/>
      <c r="C68" s="309"/>
      <c r="D68" s="135">
        <v>16</v>
      </c>
      <c r="E68" s="179" t="s">
        <v>166</v>
      </c>
      <c r="F68" s="204">
        <v>6</v>
      </c>
      <c r="G68" s="205" t="s">
        <v>18</v>
      </c>
      <c r="H68" s="302"/>
      <c r="I68" s="309"/>
      <c r="J68" s="309"/>
      <c r="K68" s="302"/>
      <c r="L68" s="309"/>
      <c r="M68" s="309"/>
      <c r="N68" s="309"/>
      <c r="O68" s="309"/>
      <c r="P68" s="285"/>
      <c r="Q68" s="285"/>
      <c r="R68" s="285"/>
      <c r="S68" s="285"/>
      <c r="T68" s="285"/>
      <c r="U68" s="285"/>
      <c r="V68" s="285"/>
      <c r="W68" s="285"/>
    </row>
    <row r="69" spans="1:23" s="278" customFormat="1" ht="22.5" customHeight="1" x14ac:dyDescent="0.2">
      <c r="A69" s="294"/>
      <c r="B69" s="309"/>
      <c r="C69" s="309"/>
      <c r="D69" s="135">
        <v>16</v>
      </c>
      <c r="E69" s="180" t="s">
        <v>177</v>
      </c>
      <c r="F69" s="202">
        <v>0.85</v>
      </c>
      <c r="G69" s="203" t="s">
        <v>18</v>
      </c>
      <c r="H69" s="302"/>
      <c r="I69" s="309"/>
      <c r="J69" s="309"/>
      <c r="K69" s="302"/>
      <c r="L69" s="309"/>
      <c r="M69" s="309"/>
      <c r="N69" s="309"/>
      <c r="O69" s="309"/>
      <c r="P69" s="285"/>
      <c r="Q69" s="285"/>
      <c r="R69" s="285"/>
      <c r="S69" s="285"/>
      <c r="T69" s="285"/>
      <c r="U69" s="285"/>
      <c r="V69" s="285"/>
      <c r="W69" s="285"/>
    </row>
    <row r="70" spans="1:23" s="278" customFormat="1" ht="22.5" customHeight="1" x14ac:dyDescent="0.2">
      <c r="A70" s="294"/>
      <c r="B70" s="309"/>
      <c r="C70" s="309"/>
      <c r="D70" s="135">
        <v>16</v>
      </c>
      <c r="E70" s="179" t="s">
        <v>181</v>
      </c>
      <c r="F70" s="204">
        <v>100</v>
      </c>
      <c r="G70" s="205" t="s">
        <v>1</v>
      </c>
      <c r="H70" s="302"/>
      <c r="I70" s="309"/>
      <c r="J70" s="309"/>
      <c r="K70" s="302"/>
      <c r="L70" s="309"/>
      <c r="M70" s="309"/>
      <c r="N70" s="309"/>
      <c r="O70" s="309"/>
      <c r="P70" s="285"/>
      <c r="Q70" s="285"/>
      <c r="R70" s="285"/>
      <c r="S70" s="285"/>
      <c r="T70" s="285"/>
      <c r="U70" s="285"/>
      <c r="V70" s="285"/>
      <c r="W70" s="285"/>
    </row>
    <row r="71" spans="1:23" s="278" customFormat="1" ht="22.5" customHeight="1" x14ac:dyDescent="0.2">
      <c r="A71" s="294"/>
      <c r="B71" s="309"/>
      <c r="C71" s="309"/>
      <c r="D71" s="135">
        <v>18</v>
      </c>
      <c r="E71" s="180" t="s">
        <v>181</v>
      </c>
      <c r="F71" s="202">
        <v>200</v>
      </c>
      <c r="G71" s="203" t="s">
        <v>1</v>
      </c>
      <c r="H71" s="302"/>
      <c r="I71" s="309"/>
      <c r="J71" s="309"/>
      <c r="K71" s="302"/>
      <c r="L71" s="309"/>
      <c r="M71" s="309"/>
      <c r="N71" s="309"/>
      <c r="O71" s="309"/>
      <c r="P71" s="285"/>
      <c r="Q71" s="285"/>
      <c r="R71" s="285"/>
      <c r="S71" s="285"/>
      <c r="T71" s="285"/>
      <c r="U71" s="285"/>
      <c r="V71" s="285"/>
      <c r="W71" s="285"/>
    </row>
    <row r="72" spans="1:23" s="278" customFormat="1" ht="22.5" customHeight="1" x14ac:dyDescent="0.2">
      <c r="A72" s="294"/>
      <c r="B72" s="309"/>
      <c r="C72" s="309"/>
      <c r="D72" s="134">
        <v>20</v>
      </c>
      <c r="E72" s="179" t="s">
        <v>156</v>
      </c>
      <c r="F72" s="204">
        <v>74.98</v>
      </c>
      <c r="G72" s="205" t="s">
        <v>25</v>
      </c>
      <c r="H72" s="302"/>
      <c r="I72" s="309"/>
      <c r="J72" s="309"/>
      <c r="K72" s="302"/>
      <c r="L72" s="309"/>
      <c r="M72" s="309"/>
      <c r="N72" s="309"/>
      <c r="O72" s="309"/>
      <c r="P72" s="285"/>
      <c r="Q72" s="285"/>
      <c r="R72" s="285"/>
      <c r="S72" s="285"/>
      <c r="T72" s="285"/>
      <c r="U72" s="285"/>
      <c r="V72" s="285"/>
      <c r="W72" s="285"/>
    </row>
    <row r="73" spans="1:23" s="278" customFormat="1" ht="22.5" customHeight="1" x14ac:dyDescent="0.2">
      <c r="A73" s="294"/>
      <c r="B73" s="309"/>
      <c r="C73" s="309"/>
      <c r="D73" s="134">
        <v>20</v>
      </c>
      <c r="E73" s="180" t="s">
        <v>183</v>
      </c>
      <c r="F73" s="202">
        <v>149.94</v>
      </c>
      <c r="G73" s="203" t="s">
        <v>18</v>
      </c>
      <c r="H73" s="302"/>
      <c r="I73" s="309"/>
      <c r="J73" s="309"/>
      <c r="K73" s="302"/>
      <c r="L73" s="309"/>
      <c r="M73" s="309"/>
      <c r="N73" s="309"/>
      <c r="O73" s="309"/>
      <c r="P73" s="285"/>
      <c r="Q73" s="285"/>
      <c r="R73" s="285"/>
      <c r="S73" s="285"/>
      <c r="T73" s="285"/>
      <c r="U73" s="285"/>
      <c r="V73" s="285"/>
      <c r="W73" s="285"/>
    </row>
    <row r="74" spans="1:23" s="278" customFormat="1" ht="22.5" customHeight="1" x14ac:dyDescent="0.2">
      <c r="A74" s="294"/>
      <c r="B74" s="309"/>
      <c r="C74" s="309"/>
      <c r="D74" s="346">
        <v>20</v>
      </c>
      <c r="E74" s="179" t="s">
        <v>184</v>
      </c>
      <c r="F74" s="204">
        <v>200</v>
      </c>
      <c r="G74" s="205" t="s">
        <v>18</v>
      </c>
      <c r="H74" s="302"/>
      <c r="I74" s="309"/>
      <c r="J74" s="309"/>
      <c r="K74" s="302"/>
      <c r="L74" s="309"/>
      <c r="M74" s="309"/>
      <c r="N74" s="309"/>
      <c r="O74" s="309"/>
      <c r="P74" s="285"/>
      <c r="Q74" s="285"/>
      <c r="R74" s="285"/>
      <c r="S74" s="285"/>
      <c r="T74" s="285"/>
      <c r="U74" s="285"/>
      <c r="V74" s="285"/>
      <c r="W74" s="285"/>
    </row>
    <row r="75" spans="1:23" s="278" customFormat="1" ht="22.5" customHeight="1" x14ac:dyDescent="0.2">
      <c r="A75" s="294"/>
      <c r="B75" s="309"/>
      <c r="C75" s="309"/>
      <c r="D75" s="135">
        <v>19</v>
      </c>
      <c r="E75" s="180" t="s">
        <v>151</v>
      </c>
      <c r="F75" s="202">
        <v>58.7</v>
      </c>
      <c r="G75" s="203" t="s">
        <v>18</v>
      </c>
      <c r="H75" s="302"/>
      <c r="I75" s="309"/>
      <c r="J75" s="309"/>
      <c r="K75" s="302"/>
      <c r="L75" s="309"/>
      <c r="M75" s="309"/>
      <c r="N75" s="309"/>
      <c r="O75" s="309"/>
      <c r="P75" s="285"/>
      <c r="Q75" s="285"/>
      <c r="R75" s="285"/>
      <c r="S75" s="285"/>
      <c r="T75" s="285"/>
      <c r="U75" s="285"/>
      <c r="V75" s="285"/>
      <c r="W75" s="285"/>
    </row>
    <row r="76" spans="1:23" s="278" customFormat="1" ht="22.5" customHeight="1" x14ac:dyDescent="0.2">
      <c r="A76" s="294"/>
      <c r="B76" s="309"/>
      <c r="C76" s="309"/>
      <c r="D76" s="135">
        <v>19</v>
      </c>
      <c r="E76" s="179" t="s">
        <v>185</v>
      </c>
      <c r="F76" s="204">
        <v>78.16</v>
      </c>
      <c r="G76" s="205" t="s">
        <v>13</v>
      </c>
      <c r="H76" s="302"/>
      <c r="I76" s="309"/>
      <c r="J76" s="309"/>
      <c r="K76" s="302"/>
      <c r="L76" s="309"/>
      <c r="M76" s="309"/>
      <c r="N76" s="309"/>
      <c r="O76" s="309"/>
      <c r="P76" s="285"/>
      <c r="Q76" s="285"/>
      <c r="R76" s="285"/>
      <c r="S76" s="285"/>
      <c r="T76" s="285"/>
      <c r="U76" s="285"/>
      <c r="V76" s="285"/>
      <c r="W76" s="285"/>
    </row>
    <row r="77" spans="1:23" s="278" customFormat="1" ht="22.5" customHeight="1" x14ac:dyDescent="0.2">
      <c r="A77" s="294"/>
      <c r="B77" s="309"/>
      <c r="C77" s="309"/>
      <c r="D77" s="134">
        <v>23</v>
      </c>
      <c r="E77" s="180" t="s">
        <v>168</v>
      </c>
      <c r="F77" s="202">
        <v>33</v>
      </c>
      <c r="G77" s="203" t="s">
        <v>18</v>
      </c>
      <c r="H77" s="302"/>
      <c r="I77" s="309"/>
      <c r="J77" s="309"/>
      <c r="K77" s="302"/>
      <c r="L77" s="309"/>
      <c r="M77" s="309"/>
      <c r="N77" s="309"/>
      <c r="O77" s="309"/>
      <c r="P77" s="285"/>
      <c r="Q77" s="285"/>
      <c r="R77" s="285"/>
      <c r="S77" s="285"/>
      <c r="T77" s="285"/>
      <c r="U77" s="285"/>
      <c r="V77" s="285"/>
      <c r="W77" s="285"/>
    </row>
    <row r="78" spans="1:23" s="278" customFormat="1" ht="22.5" customHeight="1" x14ac:dyDescent="0.2">
      <c r="A78" s="294"/>
      <c r="B78" s="309"/>
      <c r="C78" s="309"/>
      <c r="D78" s="134">
        <v>23</v>
      </c>
      <c r="E78" s="179" t="s">
        <v>151</v>
      </c>
      <c r="F78" s="204">
        <v>34.380000000000003</v>
      </c>
      <c r="G78" s="205" t="s">
        <v>13</v>
      </c>
      <c r="H78" s="302"/>
      <c r="I78" s="309"/>
      <c r="J78" s="309"/>
      <c r="K78" s="302"/>
      <c r="L78" s="309"/>
      <c r="M78" s="309"/>
      <c r="N78" s="309"/>
      <c r="O78" s="309"/>
      <c r="P78" s="285"/>
      <c r="Q78" s="285"/>
      <c r="R78" s="285"/>
      <c r="S78" s="285"/>
      <c r="T78" s="285"/>
      <c r="U78" s="285"/>
      <c r="V78" s="285"/>
      <c r="W78" s="285"/>
    </row>
    <row r="79" spans="1:23" s="278" customFormat="1" ht="22.5" customHeight="1" x14ac:dyDescent="0.2">
      <c r="A79" s="294"/>
      <c r="B79" s="309"/>
      <c r="C79" s="309"/>
      <c r="D79" s="134">
        <v>26</v>
      </c>
      <c r="E79" s="180" t="s">
        <v>158</v>
      </c>
      <c r="F79" s="202">
        <v>3.24</v>
      </c>
      <c r="G79" s="203" t="s">
        <v>18</v>
      </c>
      <c r="H79" s="302"/>
      <c r="I79" s="309"/>
      <c r="J79" s="309"/>
      <c r="K79" s="302"/>
      <c r="L79" s="309"/>
      <c r="M79" s="309"/>
      <c r="N79" s="309"/>
      <c r="O79" s="309"/>
      <c r="P79" s="285"/>
      <c r="Q79" s="285"/>
      <c r="R79" s="285"/>
      <c r="S79" s="285"/>
      <c r="T79" s="285"/>
      <c r="U79" s="285"/>
      <c r="V79" s="285"/>
      <c r="W79" s="285"/>
    </row>
    <row r="80" spans="1:23" s="278" customFormat="1" ht="22.5" customHeight="1" x14ac:dyDescent="0.2">
      <c r="A80" s="294"/>
      <c r="B80" s="309"/>
      <c r="C80" s="309"/>
      <c r="D80" s="134">
        <v>26</v>
      </c>
      <c r="E80" s="179" t="s">
        <v>177</v>
      </c>
      <c r="F80" s="204">
        <v>35.14</v>
      </c>
      <c r="G80" s="205" t="s">
        <v>18</v>
      </c>
      <c r="H80" s="302"/>
      <c r="I80" s="309"/>
      <c r="J80" s="309"/>
      <c r="K80" s="302"/>
      <c r="L80" s="309"/>
      <c r="M80" s="309"/>
      <c r="N80" s="309"/>
      <c r="O80" s="309"/>
      <c r="P80" s="285"/>
      <c r="Q80" s="285"/>
      <c r="R80" s="285"/>
      <c r="S80" s="285"/>
      <c r="T80" s="285"/>
      <c r="U80" s="285"/>
      <c r="V80" s="285"/>
      <c r="W80" s="285"/>
    </row>
    <row r="81" spans="1:23" s="278" customFormat="1" ht="22.5" customHeight="1" x14ac:dyDescent="0.2">
      <c r="A81" s="294"/>
      <c r="B81" s="309"/>
      <c r="C81" s="309"/>
      <c r="D81" s="134">
        <v>26</v>
      </c>
      <c r="E81" s="180" t="s">
        <v>144</v>
      </c>
      <c r="F81" s="202">
        <v>7</v>
      </c>
      <c r="G81" s="203" t="s">
        <v>18</v>
      </c>
      <c r="H81" s="302"/>
      <c r="I81" s="309"/>
      <c r="J81" s="309"/>
      <c r="K81" s="302"/>
      <c r="L81" s="309"/>
      <c r="M81" s="309"/>
      <c r="N81" s="309"/>
      <c r="O81" s="309"/>
      <c r="P81" s="285"/>
      <c r="Q81" s="285"/>
      <c r="R81" s="285"/>
      <c r="S81" s="285"/>
      <c r="T81" s="285"/>
      <c r="U81" s="285"/>
      <c r="V81" s="285"/>
      <c r="W81" s="285"/>
    </row>
    <row r="82" spans="1:23" s="278" customFormat="1" ht="22.5" customHeight="1" x14ac:dyDescent="0.2">
      <c r="A82" s="294"/>
      <c r="B82" s="309"/>
      <c r="C82" s="309"/>
      <c r="D82" s="134">
        <v>26</v>
      </c>
      <c r="E82" s="179" t="s">
        <v>187</v>
      </c>
      <c r="F82" s="204">
        <v>-20</v>
      </c>
      <c r="G82" s="205" t="s">
        <v>128</v>
      </c>
      <c r="H82" s="302"/>
      <c r="I82" s="309"/>
      <c r="J82" s="309"/>
      <c r="K82" s="302"/>
      <c r="L82" s="309"/>
      <c r="M82" s="309"/>
      <c r="N82" s="309"/>
      <c r="O82" s="309"/>
      <c r="P82" s="285"/>
      <c r="Q82" s="285"/>
      <c r="R82" s="285"/>
      <c r="S82" s="285"/>
      <c r="T82" s="285"/>
      <c r="U82" s="285"/>
      <c r="V82" s="285"/>
      <c r="W82" s="285"/>
    </row>
    <row r="83" spans="1:23" s="278" customFormat="1" ht="22.5" customHeight="1" x14ac:dyDescent="0.2">
      <c r="A83" s="294"/>
      <c r="B83" s="309"/>
      <c r="C83" s="309"/>
      <c r="D83" s="134">
        <v>26</v>
      </c>
      <c r="E83" s="180" t="s">
        <v>144</v>
      </c>
      <c r="F83" s="202">
        <v>5.99</v>
      </c>
      <c r="G83" s="203" t="s">
        <v>18</v>
      </c>
      <c r="H83" s="302"/>
      <c r="I83" s="309"/>
      <c r="J83" s="309"/>
      <c r="K83" s="302"/>
      <c r="L83" s="309"/>
      <c r="M83" s="309"/>
      <c r="N83" s="309"/>
      <c r="O83" s="309"/>
      <c r="P83" s="285"/>
      <c r="Q83" s="285"/>
      <c r="R83" s="285"/>
      <c r="S83" s="285"/>
      <c r="T83" s="285"/>
      <c r="U83" s="285"/>
      <c r="V83" s="285"/>
      <c r="W83" s="285"/>
    </row>
    <row r="84" spans="1:23" s="278" customFormat="1" ht="22.5" customHeight="1" x14ac:dyDescent="0.2">
      <c r="A84" s="294"/>
      <c r="B84" s="309"/>
      <c r="C84" s="309"/>
      <c r="D84" s="134">
        <v>26</v>
      </c>
      <c r="E84" s="179" t="s">
        <v>188</v>
      </c>
      <c r="F84" s="204">
        <v>10.199999999999999</v>
      </c>
      <c r="G84" s="205" t="s">
        <v>18</v>
      </c>
      <c r="H84" s="302"/>
      <c r="I84" s="309"/>
      <c r="J84" s="309"/>
      <c r="K84" s="302"/>
      <c r="L84" s="309"/>
      <c r="M84" s="309"/>
      <c r="N84" s="309"/>
      <c r="O84" s="309"/>
      <c r="P84" s="285"/>
      <c r="Q84" s="285"/>
      <c r="R84" s="285"/>
      <c r="S84" s="285"/>
      <c r="T84" s="285"/>
      <c r="U84" s="285"/>
      <c r="V84" s="285"/>
      <c r="W84" s="285"/>
    </row>
    <row r="85" spans="1:23" s="278" customFormat="1" ht="22.5" customHeight="1" x14ac:dyDescent="0.2">
      <c r="A85" s="294"/>
      <c r="B85" s="309"/>
      <c r="C85" s="309"/>
      <c r="D85" s="134">
        <v>26</v>
      </c>
      <c r="E85" s="180" t="s">
        <v>144</v>
      </c>
      <c r="F85" s="202">
        <v>10.65</v>
      </c>
      <c r="G85" s="203" t="s">
        <v>18</v>
      </c>
      <c r="H85" s="302"/>
      <c r="I85" s="309"/>
      <c r="J85" s="309"/>
      <c r="K85" s="302"/>
      <c r="L85" s="309"/>
      <c r="M85" s="309"/>
      <c r="N85" s="309"/>
      <c r="O85" s="309"/>
      <c r="P85" s="285"/>
      <c r="Q85" s="285"/>
      <c r="R85" s="285"/>
      <c r="S85" s="285"/>
      <c r="T85" s="285"/>
      <c r="U85" s="285"/>
      <c r="V85" s="285"/>
      <c r="W85" s="285"/>
    </row>
    <row r="86" spans="1:23" s="278" customFormat="1" ht="22.5" customHeight="1" x14ac:dyDescent="0.2">
      <c r="A86" s="294"/>
      <c r="B86" s="309"/>
      <c r="C86" s="309"/>
      <c r="D86" s="134">
        <v>29</v>
      </c>
      <c r="E86" s="179" t="s">
        <v>189</v>
      </c>
      <c r="F86" s="204">
        <v>10.49</v>
      </c>
      <c r="G86" s="205" t="s">
        <v>128</v>
      </c>
      <c r="H86" s="302"/>
      <c r="I86" s="309"/>
      <c r="J86" s="309"/>
      <c r="K86" s="302"/>
      <c r="L86" s="309"/>
      <c r="M86" s="309"/>
      <c r="N86" s="309"/>
      <c r="O86" s="309"/>
      <c r="P86" s="285"/>
      <c r="Q86" s="285"/>
      <c r="R86" s="285"/>
      <c r="S86" s="285"/>
      <c r="T86" s="285"/>
      <c r="U86" s="285"/>
      <c r="V86" s="285"/>
      <c r="W86" s="285"/>
    </row>
    <row r="87" spans="1:23" s="278" customFormat="1" ht="22.5" customHeight="1" x14ac:dyDescent="0.2">
      <c r="A87" s="294"/>
      <c r="B87" s="309"/>
      <c r="C87" s="309"/>
      <c r="D87" s="134">
        <v>29</v>
      </c>
      <c r="E87" s="180" t="s">
        <v>190</v>
      </c>
      <c r="F87" s="202">
        <v>12</v>
      </c>
      <c r="G87" s="203" t="s">
        <v>128</v>
      </c>
      <c r="H87" s="302"/>
      <c r="I87" s="309"/>
      <c r="J87" s="309"/>
      <c r="K87" s="302"/>
      <c r="L87" s="309"/>
      <c r="M87" s="309"/>
      <c r="N87" s="309"/>
      <c r="O87" s="309"/>
      <c r="P87" s="285"/>
      <c r="Q87" s="285"/>
      <c r="R87" s="285"/>
      <c r="S87" s="285"/>
      <c r="T87" s="285"/>
      <c r="U87" s="285"/>
      <c r="V87" s="285"/>
      <c r="W87" s="285"/>
    </row>
    <row r="88" spans="1:23" s="278" customFormat="1" ht="22.5" customHeight="1" x14ac:dyDescent="0.2">
      <c r="A88" s="294"/>
      <c r="B88" s="309"/>
      <c r="C88" s="309"/>
      <c r="D88" s="134">
        <v>29</v>
      </c>
      <c r="E88" s="179" t="s">
        <v>191</v>
      </c>
      <c r="F88" s="204">
        <v>20.98</v>
      </c>
      <c r="G88" s="205" t="s">
        <v>128</v>
      </c>
      <c r="H88" s="302"/>
      <c r="I88" s="309"/>
      <c r="J88" s="309"/>
      <c r="K88" s="302"/>
      <c r="L88" s="309"/>
      <c r="M88" s="309"/>
      <c r="N88" s="309"/>
      <c r="O88" s="309"/>
      <c r="P88" s="285"/>
      <c r="Q88" s="285"/>
      <c r="R88" s="285"/>
      <c r="S88" s="285"/>
      <c r="T88" s="285"/>
      <c r="U88" s="285"/>
      <c r="V88" s="285"/>
      <c r="W88" s="285"/>
    </row>
    <row r="89" spans="1:23" s="278" customFormat="1" ht="22.5" customHeight="1" x14ac:dyDescent="0.2">
      <c r="A89" s="294"/>
      <c r="B89" s="309"/>
      <c r="C89" s="309"/>
      <c r="D89" s="134">
        <v>30</v>
      </c>
      <c r="E89" s="180" t="s">
        <v>192</v>
      </c>
      <c r="F89" s="202">
        <v>34.99</v>
      </c>
      <c r="G89" s="203" t="s">
        <v>20</v>
      </c>
      <c r="H89" s="302"/>
      <c r="I89" s="309"/>
      <c r="J89" s="309"/>
      <c r="K89" s="302"/>
      <c r="L89" s="309"/>
      <c r="M89" s="309"/>
      <c r="N89" s="309"/>
      <c r="O89" s="309"/>
      <c r="P89" s="285"/>
      <c r="Q89" s="285"/>
      <c r="R89" s="285"/>
      <c r="S89" s="285"/>
      <c r="T89" s="285"/>
      <c r="U89" s="285"/>
      <c r="V89" s="285"/>
      <c r="W89" s="285"/>
    </row>
    <row r="90" spans="1:23" s="278" customFormat="1" ht="22.5" customHeight="1" x14ac:dyDescent="0.2">
      <c r="A90" s="294"/>
      <c r="B90" s="309"/>
      <c r="C90" s="309"/>
      <c r="D90" s="134">
        <v>31</v>
      </c>
      <c r="E90" s="179" t="s">
        <v>144</v>
      </c>
      <c r="F90" s="204">
        <v>23.35</v>
      </c>
      <c r="G90" s="205" t="s">
        <v>18</v>
      </c>
      <c r="H90" s="302"/>
      <c r="I90" s="309"/>
      <c r="J90" s="309"/>
      <c r="K90" s="302"/>
      <c r="L90" s="309"/>
      <c r="M90" s="309"/>
      <c r="N90" s="309"/>
      <c r="O90" s="309"/>
      <c r="P90" s="285"/>
      <c r="Q90" s="285"/>
      <c r="R90" s="285"/>
      <c r="S90" s="285"/>
      <c r="T90" s="285"/>
      <c r="U90" s="285"/>
      <c r="V90" s="285"/>
      <c r="W90" s="285"/>
    </row>
    <row r="91" spans="1:23" s="278" customFormat="1" ht="22.5" customHeight="1" x14ac:dyDescent="0.2">
      <c r="A91" s="294"/>
      <c r="B91" s="309"/>
      <c r="C91" s="309"/>
      <c r="D91" s="361">
        <v>22</v>
      </c>
      <c r="E91" s="180" t="s">
        <v>193</v>
      </c>
      <c r="F91" s="202">
        <v>48</v>
      </c>
      <c r="G91" s="203" t="s">
        <v>20</v>
      </c>
      <c r="H91" s="304"/>
      <c r="I91" s="309"/>
      <c r="J91" s="309"/>
      <c r="K91" s="304"/>
      <c r="L91" s="309"/>
      <c r="M91" s="309"/>
      <c r="N91" s="309"/>
      <c r="O91" s="309"/>
      <c r="P91" s="285"/>
      <c r="Q91" s="285"/>
      <c r="R91" s="285"/>
      <c r="S91" s="285"/>
      <c r="T91" s="285"/>
      <c r="U91" s="285"/>
      <c r="V91" s="285"/>
      <c r="W91" s="285"/>
    </row>
    <row r="92" spans="1:23" s="278" customFormat="1" ht="22.5" customHeight="1" x14ac:dyDescent="0.2">
      <c r="A92" s="294"/>
      <c r="B92" s="309"/>
      <c r="C92" s="309"/>
      <c r="D92" s="361">
        <v>23</v>
      </c>
      <c r="E92" s="179" t="s">
        <v>165</v>
      </c>
      <c r="F92" s="204">
        <v>6.45</v>
      </c>
      <c r="G92" s="205" t="s">
        <v>18</v>
      </c>
      <c r="H92" s="304"/>
      <c r="I92" s="309"/>
      <c r="J92" s="309"/>
      <c r="K92" s="304"/>
      <c r="L92" s="309"/>
      <c r="M92" s="309"/>
      <c r="N92" s="309"/>
      <c r="O92" s="309"/>
      <c r="P92" s="285"/>
      <c r="Q92" s="285"/>
      <c r="R92" s="285"/>
      <c r="S92" s="285"/>
      <c r="T92" s="285"/>
      <c r="U92" s="285"/>
      <c r="V92" s="285"/>
      <c r="W92" s="285"/>
    </row>
    <row r="93" spans="1:23" s="278" customFormat="1" ht="22.5" customHeight="1" x14ac:dyDescent="0.2">
      <c r="A93" s="294"/>
      <c r="B93" s="309"/>
      <c r="C93" s="309"/>
      <c r="D93" s="135">
        <v>26</v>
      </c>
      <c r="E93" s="180" t="s">
        <v>158</v>
      </c>
      <c r="F93" s="202">
        <v>6.45</v>
      </c>
      <c r="G93" s="203" t="s">
        <v>18</v>
      </c>
      <c r="H93" s="302"/>
      <c r="I93" s="309"/>
      <c r="J93" s="309"/>
      <c r="K93" s="302"/>
      <c r="L93" s="309"/>
      <c r="M93" s="309"/>
      <c r="N93" s="309"/>
      <c r="O93" s="309"/>
      <c r="P93" s="285"/>
      <c r="Q93" s="285"/>
      <c r="R93" s="285"/>
      <c r="S93" s="285"/>
      <c r="T93" s="285"/>
      <c r="U93" s="285"/>
      <c r="V93" s="285"/>
      <c r="W93" s="285"/>
    </row>
    <row r="94" spans="1:23" s="278" customFormat="1" ht="22.5" customHeight="1" x14ac:dyDescent="0.2">
      <c r="A94" s="294"/>
      <c r="B94" s="309"/>
      <c r="C94" s="309"/>
      <c r="D94" s="135">
        <v>26</v>
      </c>
      <c r="E94" s="179" t="s">
        <v>194</v>
      </c>
      <c r="F94" s="204">
        <v>2.78</v>
      </c>
      <c r="G94" s="205" t="s">
        <v>18</v>
      </c>
      <c r="H94" s="302"/>
      <c r="I94" s="309"/>
      <c r="J94" s="309"/>
      <c r="K94" s="302"/>
      <c r="L94" s="309"/>
      <c r="M94" s="309"/>
      <c r="N94" s="309"/>
      <c r="O94" s="309"/>
      <c r="P94" s="285"/>
      <c r="Q94" s="285"/>
      <c r="R94" s="285"/>
      <c r="S94" s="285"/>
      <c r="T94" s="285"/>
      <c r="U94" s="285"/>
      <c r="V94" s="285"/>
      <c r="W94" s="285"/>
    </row>
    <row r="95" spans="1:23" s="278" customFormat="1" ht="22.5" customHeight="1" x14ac:dyDescent="0.2">
      <c r="A95" s="294"/>
      <c r="B95" s="309"/>
      <c r="C95" s="309"/>
      <c r="D95" s="135">
        <v>26</v>
      </c>
      <c r="E95" s="180" t="s">
        <v>172</v>
      </c>
      <c r="F95" s="202">
        <v>120.93</v>
      </c>
      <c r="G95" s="203" t="s">
        <v>13</v>
      </c>
      <c r="H95" s="302"/>
      <c r="I95" s="309"/>
      <c r="J95" s="309"/>
      <c r="K95" s="302"/>
      <c r="L95" s="309"/>
      <c r="M95" s="309"/>
      <c r="N95" s="309"/>
      <c r="O95" s="309"/>
      <c r="P95" s="285"/>
      <c r="Q95" s="285"/>
      <c r="R95" s="285"/>
      <c r="S95" s="285"/>
      <c r="T95" s="285"/>
      <c r="U95" s="285"/>
      <c r="V95" s="285"/>
      <c r="W95" s="285"/>
    </row>
    <row r="96" spans="1:23" s="278" customFormat="1" ht="22.5" customHeight="1" x14ac:dyDescent="0.2">
      <c r="A96" s="294"/>
      <c r="B96" s="309"/>
      <c r="C96" s="309"/>
      <c r="D96" s="135">
        <v>26</v>
      </c>
      <c r="E96" s="179" t="s">
        <v>195</v>
      </c>
      <c r="F96" s="204">
        <v>17</v>
      </c>
      <c r="G96" s="205" t="s">
        <v>18</v>
      </c>
      <c r="H96" s="302"/>
      <c r="I96" s="309"/>
      <c r="J96" s="309"/>
      <c r="K96" s="302"/>
      <c r="L96" s="309"/>
      <c r="M96" s="309"/>
      <c r="N96" s="309"/>
      <c r="O96" s="309"/>
      <c r="P96" s="285"/>
      <c r="Q96" s="285"/>
      <c r="R96" s="285"/>
      <c r="S96" s="285"/>
      <c r="T96" s="285"/>
      <c r="U96" s="285"/>
      <c r="V96" s="285"/>
      <c r="W96" s="285"/>
    </row>
    <row r="97" spans="1:23" s="278" customFormat="1" ht="22.5" customHeight="1" x14ac:dyDescent="0.2">
      <c r="A97" s="294"/>
      <c r="B97" s="309"/>
      <c r="C97" s="309"/>
      <c r="D97" s="135">
        <v>26</v>
      </c>
      <c r="E97" s="180" t="s">
        <v>167</v>
      </c>
      <c r="F97" s="202">
        <v>179</v>
      </c>
      <c r="G97" s="203" t="s">
        <v>18</v>
      </c>
      <c r="H97" s="302"/>
      <c r="I97" s="309"/>
      <c r="J97" s="309"/>
      <c r="K97" s="302"/>
      <c r="L97" s="309"/>
      <c r="M97" s="309"/>
      <c r="N97" s="309"/>
      <c r="O97" s="309"/>
      <c r="P97" s="285"/>
      <c r="Q97" s="285"/>
      <c r="R97" s="285"/>
      <c r="S97" s="285"/>
      <c r="T97" s="285"/>
      <c r="U97" s="285"/>
      <c r="V97" s="285"/>
      <c r="W97" s="285"/>
    </row>
    <row r="98" spans="1:23" s="278" customFormat="1" ht="22.5" customHeight="1" x14ac:dyDescent="0.2">
      <c r="A98" s="294"/>
      <c r="B98" s="309"/>
      <c r="C98" s="309"/>
      <c r="D98" s="135">
        <v>27</v>
      </c>
      <c r="E98" s="179" t="s">
        <v>196</v>
      </c>
      <c r="F98" s="204">
        <v>148</v>
      </c>
      <c r="G98" s="205" t="s">
        <v>20</v>
      </c>
      <c r="H98" s="302"/>
      <c r="I98" s="309"/>
      <c r="J98" s="309"/>
      <c r="K98" s="302"/>
      <c r="L98" s="309"/>
      <c r="M98" s="309"/>
      <c r="N98" s="309"/>
      <c r="O98" s="309"/>
      <c r="P98" s="285"/>
      <c r="Q98" s="285"/>
      <c r="R98" s="285"/>
      <c r="S98" s="285"/>
      <c r="T98" s="285"/>
      <c r="U98" s="285"/>
      <c r="V98" s="285"/>
      <c r="W98" s="285"/>
    </row>
    <row r="99" spans="1:23" s="278" customFormat="1" ht="22.5" customHeight="1" x14ac:dyDescent="0.2">
      <c r="A99" s="294"/>
      <c r="B99" s="309"/>
      <c r="C99" s="309"/>
      <c r="D99" s="135">
        <v>27</v>
      </c>
      <c r="E99" s="180" t="s">
        <v>197</v>
      </c>
      <c r="F99" s="202">
        <v>98</v>
      </c>
      <c r="G99" s="203" t="s">
        <v>20</v>
      </c>
      <c r="H99" s="302"/>
      <c r="I99" s="309"/>
      <c r="J99" s="309"/>
      <c r="K99" s="302"/>
      <c r="L99" s="309"/>
      <c r="M99" s="309"/>
      <c r="N99" s="309"/>
      <c r="O99" s="309"/>
      <c r="P99" s="285"/>
      <c r="Q99" s="285"/>
      <c r="R99" s="285"/>
      <c r="S99" s="285"/>
      <c r="T99" s="285"/>
      <c r="U99" s="285"/>
      <c r="V99" s="285"/>
      <c r="W99" s="285"/>
    </row>
    <row r="100" spans="1:23" s="278" customFormat="1" ht="22.5" customHeight="1" x14ac:dyDescent="0.2">
      <c r="A100" s="294"/>
      <c r="B100" s="309"/>
      <c r="C100" s="309"/>
      <c r="D100" s="135">
        <v>27</v>
      </c>
      <c r="E100" s="179" t="s">
        <v>158</v>
      </c>
      <c r="F100" s="204">
        <v>0.3</v>
      </c>
      <c r="G100" s="205" t="s">
        <v>18</v>
      </c>
      <c r="H100" s="302"/>
      <c r="I100" s="309"/>
      <c r="J100" s="309"/>
      <c r="K100" s="302"/>
      <c r="L100" s="309"/>
      <c r="M100" s="309"/>
      <c r="N100" s="309"/>
      <c r="O100" s="309"/>
      <c r="P100" s="285"/>
      <c r="Q100" s="285"/>
      <c r="R100" s="285"/>
      <c r="S100" s="285"/>
      <c r="T100" s="285"/>
      <c r="U100" s="285"/>
      <c r="V100" s="285"/>
      <c r="W100" s="285"/>
    </row>
    <row r="101" spans="1:23" s="278" customFormat="1" ht="22.5" customHeight="1" x14ac:dyDescent="0.2">
      <c r="A101" s="294"/>
      <c r="B101" s="309"/>
      <c r="C101" s="309"/>
      <c r="D101" s="135">
        <v>30</v>
      </c>
      <c r="E101" s="180" t="s">
        <v>198</v>
      </c>
      <c r="F101" s="202">
        <v>15</v>
      </c>
      <c r="G101" s="203" t="s">
        <v>18</v>
      </c>
      <c r="H101" s="302"/>
      <c r="I101" s="309"/>
      <c r="J101" s="309"/>
      <c r="K101" s="302"/>
      <c r="L101" s="309"/>
      <c r="M101" s="309"/>
      <c r="N101" s="309"/>
      <c r="O101" s="309"/>
      <c r="P101" s="285"/>
      <c r="Q101" s="285"/>
      <c r="R101" s="285"/>
      <c r="S101" s="285"/>
      <c r="T101" s="285"/>
      <c r="U101" s="285"/>
      <c r="V101" s="285"/>
      <c r="W101" s="285"/>
    </row>
    <row r="102" spans="1:23" s="278" customFormat="1" ht="22.5" customHeight="1" x14ac:dyDescent="0.2">
      <c r="A102" s="294"/>
      <c r="B102" s="309"/>
      <c r="C102" s="309"/>
      <c r="D102" s="135">
        <v>30</v>
      </c>
      <c r="E102" s="179" t="s">
        <v>165</v>
      </c>
      <c r="F102" s="204">
        <v>20.23</v>
      </c>
      <c r="G102" s="205" t="s">
        <v>18</v>
      </c>
      <c r="H102" s="302"/>
      <c r="I102" s="309"/>
      <c r="J102" s="309"/>
      <c r="K102" s="302"/>
      <c r="L102" s="309"/>
      <c r="M102" s="309"/>
      <c r="N102" s="309"/>
      <c r="O102" s="309"/>
      <c r="P102" s="285"/>
      <c r="Q102" s="285"/>
      <c r="R102" s="285"/>
      <c r="S102" s="285"/>
      <c r="T102" s="285"/>
      <c r="U102" s="285"/>
      <c r="V102" s="285"/>
      <c r="W102" s="285"/>
    </row>
    <row r="103" spans="1:23" s="278" customFormat="1" ht="22.5" customHeight="1" x14ac:dyDescent="0.2">
      <c r="A103" s="294"/>
      <c r="B103" s="309"/>
      <c r="C103" s="309"/>
      <c r="D103" s="135">
        <v>31</v>
      </c>
      <c r="E103" s="180" t="s">
        <v>92</v>
      </c>
      <c r="F103" s="202">
        <v>-27.26</v>
      </c>
      <c r="G103" s="203" t="s">
        <v>18</v>
      </c>
      <c r="H103" s="302"/>
      <c r="I103" s="309"/>
      <c r="J103" s="309"/>
      <c r="K103" s="302"/>
      <c r="L103" s="309"/>
      <c r="M103" s="309"/>
      <c r="N103" s="309"/>
      <c r="O103" s="309"/>
      <c r="P103" s="285"/>
      <c r="Q103" s="285"/>
      <c r="R103" s="285"/>
      <c r="S103" s="285"/>
      <c r="T103" s="285"/>
      <c r="U103" s="285"/>
      <c r="V103" s="285"/>
      <c r="W103" s="285"/>
    </row>
    <row r="104" spans="1:23" s="278" customFormat="1" ht="22.5" customHeight="1" x14ac:dyDescent="0.2">
      <c r="A104" s="294"/>
      <c r="B104" s="309"/>
      <c r="C104" s="309"/>
      <c r="D104" s="135">
        <v>31</v>
      </c>
      <c r="E104" s="179" t="s">
        <v>200</v>
      </c>
      <c r="F104" s="204">
        <v>24.1</v>
      </c>
      <c r="G104" s="205" t="s">
        <v>18</v>
      </c>
      <c r="H104" s="302"/>
      <c r="I104" s="309"/>
      <c r="J104" s="309"/>
      <c r="K104" s="302"/>
      <c r="L104" s="309"/>
      <c r="M104" s="309"/>
      <c r="N104" s="309"/>
      <c r="O104" s="309"/>
      <c r="P104" s="285"/>
      <c r="Q104" s="285"/>
      <c r="R104" s="285"/>
      <c r="S104" s="285"/>
      <c r="T104" s="285"/>
      <c r="U104" s="285"/>
      <c r="V104" s="285"/>
      <c r="W104" s="285"/>
    </row>
    <row r="105" spans="1:23" s="278" customFormat="1" ht="22.5" customHeight="1" x14ac:dyDescent="0.2">
      <c r="A105" s="294"/>
      <c r="B105" s="309"/>
      <c r="C105" s="309"/>
      <c r="D105" s="135">
        <v>31</v>
      </c>
      <c r="E105" s="180" t="s">
        <v>200</v>
      </c>
      <c r="F105" s="202">
        <v>30</v>
      </c>
      <c r="G105" s="203" t="s">
        <v>18</v>
      </c>
      <c r="H105" s="302"/>
      <c r="I105" s="309"/>
      <c r="J105" s="309"/>
      <c r="K105" s="302"/>
      <c r="L105" s="309"/>
      <c r="M105" s="309"/>
      <c r="N105" s="309"/>
      <c r="O105" s="309"/>
      <c r="P105" s="285"/>
      <c r="Q105" s="285"/>
      <c r="R105" s="285"/>
      <c r="S105" s="285"/>
      <c r="T105" s="285"/>
      <c r="U105" s="285"/>
      <c r="V105" s="285"/>
      <c r="W105" s="285"/>
    </row>
    <row r="106" spans="1:23" s="278" customFormat="1" ht="22.5" customHeight="1" x14ac:dyDescent="0.2">
      <c r="A106" s="294"/>
      <c r="B106" s="309"/>
      <c r="C106" s="309"/>
      <c r="D106" s="135">
        <v>31</v>
      </c>
      <c r="E106" s="179" t="s">
        <v>172</v>
      </c>
      <c r="F106" s="204">
        <v>120.06</v>
      </c>
      <c r="G106" s="205" t="s">
        <v>13</v>
      </c>
      <c r="H106" s="302"/>
      <c r="I106" s="309"/>
      <c r="J106" s="309"/>
      <c r="K106" s="302"/>
      <c r="L106" s="309"/>
      <c r="M106" s="309"/>
      <c r="N106" s="309"/>
      <c r="O106" s="309"/>
      <c r="P106" s="285"/>
      <c r="Q106" s="285"/>
      <c r="R106" s="285"/>
      <c r="S106" s="285"/>
      <c r="T106" s="285"/>
      <c r="U106" s="285"/>
      <c r="V106" s="285"/>
      <c r="W106" s="285"/>
    </row>
    <row r="107" spans="1:23" s="278" customFormat="1" ht="22.5" customHeight="1" x14ac:dyDescent="0.2">
      <c r="A107" s="294"/>
      <c r="B107" s="309"/>
      <c r="C107" s="309"/>
      <c r="D107" s="135">
        <v>31</v>
      </c>
      <c r="E107" s="180" t="s">
        <v>201</v>
      </c>
      <c r="F107" s="202">
        <v>8.09</v>
      </c>
      <c r="G107" s="203" t="s">
        <v>18</v>
      </c>
      <c r="H107" s="302"/>
      <c r="I107" s="309"/>
      <c r="J107" s="309"/>
      <c r="K107" s="302"/>
      <c r="L107" s="309"/>
      <c r="M107" s="309"/>
      <c r="N107" s="309"/>
      <c r="O107" s="309"/>
      <c r="P107" s="285"/>
      <c r="Q107" s="285"/>
      <c r="R107" s="285"/>
      <c r="S107" s="285"/>
      <c r="T107" s="285"/>
      <c r="U107" s="285"/>
      <c r="V107" s="285"/>
      <c r="W107" s="285"/>
    </row>
    <row r="108" spans="1:23" s="278" customFormat="1" ht="22.5" customHeight="1" x14ac:dyDescent="0.2">
      <c r="A108" s="294"/>
      <c r="B108" s="309"/>
      <c r="C108" s="309"/>
      <c r="D108" s="302"/>
      <c r="E108" s="179"/>
      <c r="F108" s="204">
        <v>4.75</v>
      </c>
      <c r="G108" s="205"/>
      <c r="H108" s="302"/>
      <c r="I108" s="309"/>
      <c r="J108" s="309"/>
      <c r="K108" s="302"/>
      <c r="L108" s="309"/>
      <c r="M108" s="309"/>
      <c r="N108" s="309"/>
      <c r="O108" s="309"/>
      <c r="P108" s="285"/>
      <c r="Q108" s="285"/>
      <c r="R108" s="285"/>
      <c r="S108" s="285"/>
      <c r="T108" s="285"/>
      <c r="U108" s="285"/>
      <c r="V108" s="285"/>
      <c r="W108" s="285"/>
    </row>
    <row r="109" spans="1:23" s="278" customFormat="1" ht="22.5" customHeight="1" x14ac:dyDescent="0.2">
      <c r="A109" s="294"/>
      <c r="B109" s="309"/>
      <c r="C109" s="309"/>
      <c r="D109" s="302"/>
      <c r="E109" s="180"/>
      <c r="F109" s="202"/>
      <c r="G109" s="203"/>
      <c r="H109" s="302"/>
      <c r="I109" s="309"/>
      <c r="J109" s="309"/>
      <c r="K109" s="302"/>
      <c r="L109" s="309"/>
      <c r="M109" s="309"/>
      <c r="N109" s="309"/>
      <c r="O109" s="309"/>
      <c r="P109" s="285"/>
      <c r="Q109" s="285"/>
      <c r="R109" s="285"/>
      <c r="S109" s="285"/>
      <c r="T109" s="285"/>
      <c r="U109" s="285"/>
      <c r="V109" s="285"/>
      <c r="W109" s="285"/>
    </row>
    <row r="110" spans="1:23" s="278" customFormat="1" ht="22.5" customHeight="1" x14ac:dyDescent="0.2">
      <c r="A110" s="294"/>
      <c r="B110" s="309"/>
      <c r="C110" s="309"/>
      <c r="D110" s="302"/>
      <c r="E110" s="179"/>
      <c r="F110" s="204"/>
      <c r="G110" s="205"/>
      <c r="H110" s="302"/>
      <c r="I110" s="309"/>
      <c r="J110" s="309"/>
      <c r="K110" s="302"/>
      <c r="L110" s="309"/>
      <c r="M110" s="309"/>
      <c r="N110" s="309"/>
      <c r="O110" s="309"/>
      <c r="P110" s="285"/>
      <c r="Q110" s="285"/>
      <c r="R110" s="285"/>
      <c r="S110" s="285"/>
      <c r="T110" s="285"/>
      <c r="U110" s="285"/>
      <c r="V110" s="285"/>
      <c r="W110" s="285"/>
    </row>
    <row r="111" spans="1:23" s="278" customFormat="1" ht="22.5" customHeight="1" x14ac:dyDescent="0.2">
      <c r="A111" s="294"/>
      <c r="B111" s="309"/>
      <c r="C111" s="309"/>
      <c r="D111" s="302"/>
      <c r="E111" s="180"/>
      <c r="F111" s="202"/>
      <c r="G111" s="203"/>
      <c r="H111" s="302"/>
      <c r="I111" s="309"/>
      <c r="J111" s="309"/>
      <c r="K111" s="302"/>
      <c r="L111" s="309"/>
      <c r="M111" s="309"/>
      <c r="N111" s="309"/>
      <c r="O111" s="309"/>
      <c r="P111" s="285"/>
      <c r="Q111" s="285"/>
      <c r="R111" s="285"/>
      <c r="S111" s="285"/>
      <c r="T111" s="285"/>
      <c r="U111" s="285"/>
      <c r="V111" s="285"/>
      <c r="W111" s="285"/>
    </row>
    <row r="112" spans="1:23" s="278" customFormat="1" ht="22.5" customHeight="1" x14ac:dyDescent="0.2">
      <c r="A112" s="294"/>
      <c r="B112" s="309"/>
      <c r="C112" s="309"/>
      <c r="D112" s="302"/>
      <c r="E112" s="179"/>
      <c r="F112" s="204"/>
      <c r="G112" s="205"/>
      <c r="H112" s="302"/>
      <c r="I112" s="309"/>
      <c r="J112" s="309"/>
      <c r="K112" s="302"/>
      <c r="L112" s="309"/>
      <c r="M112" s="309"/>
      <c r="N112" s="309"/>
      <c r="O112" s="309"/>
      <c r="P112" s="285"/>
      <c r="Q112" s="285"/>
      <c r="R112" s="285"/>
      <c r="S112" s="285"/>
      <c r="T112" s="285"/>
      <c r="U112" s="285"/>
      <c r="V112" s="285"/>
      <c r="W112" s="285"/>
    </row>
    <row r="113" spans="1:23" s="278" customFormat="1" ht="22.5" customHeight="1" x14ac:dyDescent="0.2">
      <c r="A113" s="294"/>
      <c r="B113" s="309"/>
      <c r="C113" s="309"/>
      <c r="D113" s="302"/>
      <c r="E113" s="180"/>
      <c r="F113" s="202"/>
      <c r="G113" s="203"/>
      <c r="H113" s="302"/>
      <c r="I113" s="309"/>
      <c r="J113" s="309"/>
      <c r="K113" s="302"/>
      <c r="L113" s="309"/>
      <c r="M113" s="309"/>
      <c r="N113" s="309"/>
      <c r="O113" s="309"/>
      <c r="P113" s="285"/>
      <c r="Q113" s="285"/>
      <c r="R113" s="285"/>
      <c r="S113" s="285"/>
      <c r="T113" s="285"/>
      <c r="U113" s="285"/>
      <c r="V113" s="285"/>
      <c r="W113" s="285"/>
    </row>
    <row r="114" spans="1:23" s="278" customFormat="1" ht="22.5" customHeight="1" x14ac:dyDescent="0.2">
      <c r="A114" s="294"/>
      <c r="B114" s="309"/>
      <c r="C114" s="309"/>
      <c r="D114" s="302"/>
      <c r="E114" s="179"/>
      <c r="F114" s="204"/>
      <c r="G114" s="205"/>
      <c r="H114" s="302"/>
      <c r="I114" s="309"/>
      <c r="J114" s="309"/>
      <c r="K114" s="302"/>
      <c r="L114" s="309"/>
      <c r="M114" s="309"/>
      <c r="N114" s="309"/>
      <c r="O114" s="309"/>
      <c r="P114" s="285"/>
      <c r="Q114" s="285"/>
      <c r="R114" s="285"/>
      <c r="S114" s="285"/>
      <c r="T114" s="285"/>
      <c r="U114" s="285"/>
      <c r="V114" s="285"/>
      <c r="W114" s="285"/>
    </row>
    <row r="115" spans="1:23" s="278" customFormat="1" ht="22.5" customHeight="1" x14ac:dyDescent="0.2">
      <c r="A115" s="294"/>
      <c r="B115" s="309"/>
      <c r="C115" s="309"/>
      <c r="D115" s="302"/>
      <c r="E115" s="180"/>
      <c r="F115" s="202"/>
      <c r="G115" s="203"/>
      <c r="H115" s="302"/>
      <c r="I115" s="309"/>
      <c r="J115" s="309"/>
      <c r="K115" s="302"/>
      <c r="L115" s="309"/>
      <c r="M115" s="309"/>
      <c r="N115" s="309"/>
      <c r="O115" s="309"/>
      <c r="P115" s="285"/>
      <c r="Q115" s="285"/>
      <c r="R115" s="285"/>
      <c r="S115" s="285"/>
      <c r="T115" s="285"/>
      <c r="U115" s="285"/>
      <c r="V115" s="285"/>
      <c r="W115" s="285"/>
    </row>
    <row r="116" spans="1:23" s="278" customFormat="1" ht="22.5" customHeight="1" x14ac:dyDescent="0.2">
      <c r="A116" s="294"/>
      <c r="B116" s="309"/>
      <c r="C116" s="309"/>
      <c r="D116" s="302"/>
      <c r="E116" s="179"/>
      <c r="F116" s="204"/>
      <c r="G116" s="205"/>
      <c r="H116" s="302"/>
      <c r="I116" s="309"/>
      <c r="J116" s="309"/>
      <c r="K116" s="302"/>
      <c r="L116" s="309"/>
      <c r="M116" s="309"/>
      <c r="N116" s="309"/>
      <c r="O116" s="309"/>
      <c r="P116" s="285"/>
      <c r="Q116" s="285"/>
      <c r="R116" s="285"/>
      <c r="S116" s="285"/>
      <c r="T116" s="285"/>
      <c r="U116" s="285"/>
      <c r="V116" s="285"/>
      <c r="W116" s="285"/>
    </row>
    <row r="117" spans="1:23" s="278" customFormat="1" ht="22.5" customHeight="1" x14ac:dyDescent="0.2">
      <c r="A117" s="294"/>
      <c r="B117" s="309"/>
      <c r="C117" s="309"/>
      <c r="D117" s="302"/>
      <c r="E117" s="180"/>
      <c r="F117" s="202"/>
      <c r="G117" s="203"/>
      <c r="H117" s="302"/>
      <c r="I117" s="309"/>
      <c r="J117" s="309"/>
      <c r="K117" s="302"/>
      <c r="L117" s="309"/>
      <c r="M117" s="309"/>
      <c r="N117" s="309"/>
      <c r="O117" s="309"/>
      <c r="P117" s="285"/>
      <c r="Q117" s="285"/>
      <c r="R117" s="285"/>
      <c r="S117" s="285"/>
      <c r="T117" s="285"/>
      <c r="U117" s="285"/>
      <c r="V117" s="285"/>
      <c r="W117" s="285"/>
    </row>
    <row r="118" spans="1:23" s="278" customFormat="1" ht="22.5" customHeight="1" x14ac:dyDescent="0.2">
      <c r="A118" s="294"/>
      <c r="B118" s="309"/>
      <c r="C118" s="309"/>
      <c r="D118" s="302"/>
      <c r="E118" s="179"/>
      <c r="F118" s="204"/>
      <c r="G118" s="205"/>
      <c r="H118" s="302"/>
      <c r="I118" s="309"/>
      <c r="J118" s="309"/>
      <c r="K118" s="302"/>
      <c r="L118" s="309"/>
      <c r="M118" s="309"/>
      <c r="N118" s="309"/>
      <c r="O118" s="309"/>
      <c r="P118" s="285"/>
      <c r="Q118" s="285"/>
      <c r="R118" s="285"/>
      <c r="S118" s="285"/>
      <c r="T118" s="285"/>
      <c r="U118" s="285"/>
      <c r="V118" s="285"/>
      <c r="W118" s="285"/>
    </row>
    <row r="119" spans="1:23" s="278" customFormat="1" ht="22.5" customHeight="1" x14ac:dyDescent="0.2">
      <c r="A119" s="294"/>
      <c r="B119" s="308"/>
      <c r="C119" s="308"/>
      <c r="D119" s="302"/>
      <c r="E119" s="180"/>
      <c r="F119" s="202"/>
      <c r="G119" s="203"/>
      <c r="H119" s="302"/>
      <c r="I119" s="308"/>
      <c r="J119" s="308"/>
      <c r="K119" s="302"/>
      <c r="L119" s="308"/>
      <c r="M119" s="308"/>
      <c r="N119" s="308"/>
      <c r="O119" s="308"/>
      <c r="P119" s="277"/>
      <c r="Q119" s="277"/>
      <c r="R119" s="277"/>
      <c r="S119" s="277"/>
      <c r="T119" s="277"/>
      <c r="U119" s="277"/>
      <c r="V119" s="277"/>
      <c r="W119" s="277"/>
    </row>
    <row r="120" spans="1:23" s="278" customFormat="1" ht="22.5" customHeight="1" x14ac:dyDescent="0.2">
      <c r="A120" s="294"/>
      <c r="B120" s="308"/>
      <c r="C120" s="308"/>
      <c r="D120" s="302"/>
      <c r="E120" s="179"/>
      <c r="F120" s="204"/>
      <c r="G120" s="205"/>
      <c r="H120" s="302"/>
      <c r="I120" s="308"/>
      <c r="J120" s="308"/>
      <c r="K120" s="302"/>
      <c r="L120" s="308"/>
      <c r="M120" s="308"/>
      <c r="N120" s="308"/>
      <c r="O120" s="308"/>
      <c r="P120" s="277"/>
      <c r="Q120" s="277"/>
      <c r="R120" s="277"/>
      <c r="S120" s="277"/>
      <c r="T120" s="277"/>
      <c r="U120" s="277"/>
      <c r="V120" s="277"/>
      <c r="W120" s="277"/>
    </row>
    <row r="121" spans="1:23" s="278" customFormat="1" ht="22.5" customHeight="1" x14ac:dyDescent="0.2">
      <c r="A121" s="294"/>
      <c r="B121" s="308"/>
      <c r="C121" s="308"/>
      <c r="D121" s="302"/>
      <c r="E121" s="180"/>
      <c r="F121" s="202"/>
      <c r="G121" s="203"/>
      <c r="H121" s="302"/>
      <c r="I121" s="308"/>
      <c r="J121" s="308"/>
      <c r="K121" s="302"/>
      <c r="L121" s="308"/>
      <c r="M121" s="308"/>
      <c r="N121" s="308"/>
      <c r="O121" s="308"/>
      <c r="P121" s="277"/>
      <c r="Q121" s="277"/>
      <c r="R121" s="277"/>
      <c r="S121" s="277"/>
      <c r="T121" s="277"/>
      <c r="U121" s="277"/>
      <c r="V121" s="277"/>
      <c r="W121" s="277"/>
    </row>
    <row r="122" spans="1:23" s="278" customFormat="1" ht="22.5" customHeight="1" x14ac:dyDescent="0.2">
      <c r="A122" s="294"/>
      <c r="B122" s="308"/>
      <c r="C122" s="308"/>
      <c r="D122" s="302"/>
      <c r="E122" s="179"/>
      <c r="F122" s="204"/>
      <c r="G122" s="205"/>
      <c r="H122" s="302"/>
      <c r="I122" s="308"/>
      <c r="J122" s="308"/>
      <c r="K122" s="302"/>
      <c r="L122" s="308"/>
      <c r="M122" s="308"/>
      <c r="N122" s="308"/>
      <c r="O122" s="308"/>
      <c r="P122" s="277"/>
      <c r="Q122" s="277"/>
      <c r="R122" s="277"/>
      <c r="S122" s="277"/>
      <c r="T122" s="277"/>
      <c r="U122" s="277"/>
      <c r="V122" s="277"/>
      <c r="W122" s="277"/>
    </row>
    <row r="123" spans="1:23" s="278" customFormat="1" ht="22.5" customHeight="1" x14ac:dyDescent="0.2">
      <c r="A123" s="294"/>
      <c r="B123" s="308"/>
      <c r="C123" s="308"/>
      <c r="D123" s="302"/>
      <c r="E123" s="180"/>
      <c r="F123" s="202"/>
      <c r="G123" s="203"/>
      <c r="H123" s="302"/>
      <c r="I123" s="308"/>
      <c r="J123" s="308"/>
      <c r="K123" s="302"/>
      <c r="L123" s="308"/>
      <c r="M123" s="308"/>
      <c r="N123" s="308"/>
      <c r="O123" s="308"/>
      <c r="P123" s="277"/>
      <c r="Q123" s="277"/>
      <c r="R123" s="277"/>
      <c r="S123" s="277"/>
      <c r="T123" s="277"/>
      <c r="U123" s="277"/>
      <c r="V123" s="277"/>
      <c r="W123" s="277"/>
    </row>
    <row r="124" spans="1:23" s="278" customFormat="1" ht="22.5" customHeight="1" x14ac:dyDescent="0.2">
      <c r="A124" s="294"/>
      <c r="B124" s="308"/>
      <c r="C124" s="308"/>
      <c r="D124" s="302"/>
      <c r="E124" s="179"/>
      <c r="F124" s="204"/>
      <c r="G124" s="205"/>
      <c r="H124" s="302"/>
      <c r="I124" s="308"/>
      <c r="J124" s="308"/>
      <c r="K124" s="302"/>
      <c r="L124" s="308"/>
      <c r="M124" s="308"/>
      <c r="N124" s="308"/>
      <c r="O124" s="308"/>
      <c r="P124" s="277"/>
      <c r="Q124" s="277"/>
      <c r="R124" s="277"/>
      <c r="S124" s="277"/>
      <c r="T124" s="277"/>
      <c r="U124" s="277"/>
      <c r="V124" s="277"/>
      <c r="W124" s="277"/>
    </row>
    <row r="125" spans="1:23" s="278" customFormat="1" ht="22.5" customHeight="1" x14ac:dyDescent="0.2">
      <c r="A125" s="294"/>
      <c r="B125" s="308"/>
      <c r="C125" s="308"/>
      <c r="D125" s="302"/>
      <c r="E125" s="180"/>
      <c r="F125" s="202"/>
      <c r="G125" s="203"/>
      <c r="H125" s="302"/>
      <c r="I125" s="308"/>
      <c r="J125" s="308"/>
      <c r="K125" s="302"/>
      <c r="L125" s="308"/>
      <c r="M125" s="308"/>
      <c r="N125" s="308"/>
      <c r="O125" s="308"/>
      <c r="P125" s="277"/>
      <c r="Q125" s="277"/>
      <c r="R125" s="277"/>
      <c r="S125" s="277"/>
      <c r="T125" s="277"/>
      <c r="U125" s="277"/>
      <c r="V125" s="277"/>
      <c r="W125" s="277"/>
    </row>
    <row r="126" spans="1:23" s="278" customFormat="1" ht="22.5" customHeight="1" x14ac:dyDescent="0.2">
      <c r="A126" s="294"/>
      <c r="B126" s="308"/>
      <c r="C126" s="308"/>
      <c r="D126" s="302"/>
      <c r="E126" s="179"/>
      <c r="F126" s="204"/>
      <c r="G126" s="205"/>
      <c r="H126" s="302"/>
      <c r="I126" s="308"/>
      <c r="J126" s="308"/>
      <c r="K126" s="302"/>
      <c r="L126" s="308"/>
      <c r="M126" s="308"/>
      <c r="N126" s="308"/>
      <c r="O126" s="308"/>
      <c r="P126" s="277"/>
      <c r="Q126" s="277"/>
      <c r="R126" s="277"/>
      <c r="S126" s="277"/>
      <c r="T126" s="277"/>
      <c r="U126" s="277"/>
      <c r="V126" s="277"/>
      <c r="W126" s="277"/>
    </row>
    <row r="127" spans="1:23" s="278" customFormat="1" ht="22.5" customHeight="1" x14ac:dyDescent="0.2">
      <c r="A127" s="294"/>
      <c r="B127" s="308"/>
      <c r="C127" s="308"/>
      <c r="D127" s="305"/>
      <c r="E127" s="180"/>
      <c r="F127" s="202"/>
      <c r="G127" s="203"/>
      <c r="H127" s="305"/>
      <c r="I127" s="308"/>
      <c r="J127" s="308"/>
      <c r="K127" s="305"/>
      <c r="L127" s="308"/>
      <c r="M127" s="308"/>
      <c r="N127" s="308"/>
      <c r="O127" s="308"/>
      <c r="P127" s="277"/>
      <c r="Q127" s="277"/>
      <c r="R127" s="277"/>
      <c r="S127" s="277"/>
      <c r="T127" s="277"/>
      <c r="U127" s="277"/>
      <c r="V127" s="277"/>
      <c r="W127" s="277"/>
    </row>
    <row r="128" spans="1:23" s="278" customFormat="1" ht="22.5" customHeight="1" x14ac:dyDescent="0.2">
      <c r="A128" s="294"/>
      <c r="B128" s="308"/>
      <c r="C128" s="308"/>
      <c r="D128" s="302"/>
      <c r="E128" s="179"/>
      <c r="F128" s="204"/>
      <c r="G128" s="205"/>
      <c r="H128" s="302"/>
      <c r="I128" s="308"/>
      <c r="J128" s="308"/>
      <c r="K128" s="302"/>
      <c r="L128" s="308"/>
      <c r="M128" s="308"/>
      <c r="N128" s="308"/>
      <c r="O128" s="308"/>
      <c r="P128" s="277"/>
      <c r="Q128" s="277"/>
      <c r="R128" s="277"/>
      <c r="S128" s="277"/>
      <c r="T128" s="277"/>
      <c r="U128" s="277"/>
      <c r="V128" s="277"/>
      <c r="W128" s="277"/>
    </row>
    <row r="129" spans="1:23" s="278" customFormat="1" ht="22.5" customHeight="1" x14ac:dyDescent="0.2">
      <c r="A129" s="294"/>
      <c r="B129" s="308"/>
      <c r="C129" s="308"/>
      <c r="D129" s="302"/>
      <c r="E129" s="180"/>
      <c r="F129" s="202"/>
      <c r="G129" s="203"/>
      <c r="H129" s="302"/>
      <c r="I129" s="308"/>
      <c r="J129" s="308"/>
      <c r="K129" s="302"/>
      <c r="L129" s="308"/>
      <c r="M129" s="308"/>
      <c r="N129" s="308"/>
      <c r="O129" s="308"/>
      <c r="P129" s="277"/>
      <c r="Q129" s="277"/>
      <c r="R129" s="277"/>
      <c r="S129" s="277"/>
      <c r="T129" s="277"/>
      <c r="U129" s="277"/>
      <c r="V129" s="277"/>
      <c r="W129" s="277"/>
    </row>
    <row r="130" spans="1:23" s="278" customFormat="1" ht="22.5" customHeight="1" x14ac:dyDescent="0.2">
      <c r="A130" s="294"/>
      <c r="B130" s="308"/>
      <c r="C130" s="308"/>
      <c r="D130" s="302"/>
      <c r="E130" s="179"/>
      <c r="F130" s="204"/>
      <c r="G130" s="205"/>
      <c r="H130" s="302"/>
      <c r="I130" s="308"/>
      <c r="J130" s="308"/>
      <c r="K130" s="302"/>
      <c r="L130" s="308"/>
      <c r="M130" s="308"/>
      <c r="N130" s="308"/>
      <c r="O130" s="308"/>
      <c r="P130" s="277"/>
      <c r="Q130" s="277"/>
      <c r="R130" s="277"/>
      <c r="S130" s="277"/>
      <c r="T130" s="277"/>
      <c r="U130" s="277"/>
      <c r="V130" s="277"/>
      <c r="W130" s="277"/>
    </row>
    <row r="131" spans="1:23" s="278" customFormat="1" ht="22.5" customHeight="1" x14ac:dyDescent="0.2">
      <c r="A131" s="294"/>
      <c r="B131" s="308"/>
      <c r="C131" s="308"/>
      <c r="D131" s="302"/>
      <c r="E131" s="180"/>
      <c r="F131" s="202"/>
      <c r="G131" s="203"/>
      <c r="H131" s="302"/>
      <c r="I131" s="308"/>
      <c r="J131" s="308"/>
      <c r="K131" s="302"/>
      <c r="L131" s="308"/>
      <c r="M131" s="308"/>
      <c r="N131" s="308"/>
      <c r="O131" s="308"/>
      <c r="P131" s="277"/>
      <c r="Q131" s="277"/>
      <c r="R131" s="277"/>
      <c r="S131" s="277"/>
      <c r="T131" s="277"/>
      <c r="U131" s="277"/>
      <c r="V131" s="277"/>
      <c r="W131" s="277"/>
    </row>
    <row r="132" spans="1:23" s="278" customFormat="1" ht="22.5" customHeight="1" x14ac:dyDescent="0.2">
      <c r="A132" s="294"/>
      <c r="B132" s="308"/>
      <c r="C132" s="308"/>
      <c r="D132" s="302"/>
      <c r="E132" s="179"/>
      <c r="F132" s="204"/>
      <c r="G132" s="205"/>
      <c r="H132" s="302"/>
      <c r="I132" s="308"/>
      <c r="J132" s="308"/>
      <c r="K132" s="302"/>
      <c r="L132" s="308"/>
      <c r="M132" s="308"/>
      <c r="N132" s="308"/>
      <c r="O132" s="308"/>
      <c r="P132" s="277"/>
      <c r="Q132" s="277"/>
      <c r="R132" s="277"/>
      <c r="S132" s="277"/>
      <c r="T132" s="277"/>
      <c r="U132" s="277"/>
      <c r="V132" s="277"/>
      <c r="W132" s="277"/>
    </row>
    <row r="133" spans="1:23" s="278" customFormat="1" ht="22.5" customHeight="1" x14ac:dyDescent="0.2">
      <c r="A133" s="294"/>
      <c r="B133" s="308"/>
      <c r="C133" s="308"/>
      <c r="D133" s="302"/>
      <c r="E133" s="180"/>
      <c r="F133" s="202"/>
      <c r="G133" s="203"/>
      <c r="H133" s="302"/>
      <c r="I133" s="308"/>
      <c r="J133" s="308"/>
      <c r="K133" s="302"/>
      <c r="L133" s="308"/>
      <c r="M133" s="308"/>
      <c r="N133" s="308"/>
      <c r="O133" s="308"/>
      <c r="P133" s="277"/>
      <c r="Q133" s="277"/>
      <c r="R133" s="277"/>
      <c r="S133" s="277"/>
      <c r="T133" s="277"/>
      <c r="U133" s="277"/>
      <c r="V133" s="277"/>
      <c r="W133" s="277"/>
    </row>
    <row r="134" spans="1:23" s="278" customFormat="1" ht="22.5" customHeight="1" x14ac:dyDescent="0.2">
      <c r="A134" s="294"/>
      <c r="B134" s="308"/>
      <c r="C134" s="308"/>
      <c r="D134" s="302"/>
      <c r="E134" s="179"/>
      <c r="F134" s="204"/>
      <c r="G134" s="205"/>
      <c r="H134" s="302"/>
      <c r="I134" s="308"/>
      <c r="J134" s="308"/>
      <c r="K134" s="302"/>
      <c r="L134" s="308"/>
      <c r="M134" s="308"/>
      <c r="N134" s="308"/>
      <c r="O134" s="308"/>
      <c r="P134" s="277"/>
      <c r="Q134" s="277"/>
      <c r="R134" s="277"/>
      <c r="S134" s="277"/>
      <c r="T134" s="277"/>
      <c r="U134" s="277"/>
      <c r="V134" s="277"/>
      <c r="W134" s="277"/>
    </row>
    <row r="135" spans="1:23" s="278" customFormat="1" ht="22.5" customHeight="1" x14ac:dyDescent="0.2">
      <c r="A135" s="294"/>
      <c r="B135" s="308"/>
      <c r="C135" s="308"/>
      <c r="D135" s="302"/>
      <c r="E135" s="180"/>
      <c r="F135" s="202"/>
      <c r="G135" s="203"/>
      <c r="H135" s="302"/>
      <c r="I135" s="308"/>
      <c r="J135" s="308"/>
      <c r="K135" s="302"/>
      <c r="L135" s="308"/>
      <c r="M135" s="308"/>
      <c r="N135" s="308"/>
      <c r="O135" s="308"/>
      <c r="P135" s="277"/>
      <c r="Q135" s="277"/>
      <c r="R135" s="277"/>
      <c r="S135" s="277"/>
      <c r="T135" s="277"/>
      <c r="U135" s="277"/>
      <c r="V135" s="277"/>
      <c r="W135" s="277"/>
    </row>
    <row r="136" spans="1:23" s="278" customFormat="1" ht="22.5" customHeight="1" x14ac:dyDescent="0.2">
      <c r="A136" s="294"/>
      <c r="B136" s="308"/>
      <c r="C136" s="308"/>
      <c r="D136" s="302"/>
      <c r="E136" s="179"/>
      <c r="F136" s="204"/>
      <c r="G136" s="205"/>
      <c r="H136" s="302"/>
      <c r="I136" s="308"/>
      <c r="J136" s="308"/>
      <c r="K136" s="302"/>
      <c r="L136" s="308"/>
      <c r="M136" s="308"/>
      <c r="N136" s="308"/>
      <c r="O136" s="308"/>
      <c r="P136" s="277"/>
      <c r="Q136" s="277"/>
      <c r="R136" s="277"/>
      <c r="S136" s="277"/>
      <c r="T136" s="277"/>
      <c r="U136" s="277"/>
      <c r="V136" s="277"/>
      <c r="W136" s="277"/>
    </row>
    <row r="137" spans="1:23" s="278" customFormat="1" ht="22.5" customHeight="1" x14ac:dyDescent="0.2">
      <c r="A137" s="294"/>
      <c r="B137" s="308"/>
      <c r="C137" s="308"/>
      <c r="D137" s="302"/>
      <c r="E137" s="180"/>
      <c r="F137" s="202"/>
      <c r="G137" s="203"/>
      <c r="H137" s="302"/>
      <c r="I137" s="308"/>
      <c r="J137" s="308"/>
      <c r="K137" s="302"/>
      <c r="L137" s="308"/>
      <c r="M137" s="308"/>
      <c r="N137" s="308"/>
      <c r="O137" s="308"/>
      <c r="P137" s="277"/>
      <c r="Q137" s="277"/>
      <c r="R137" s="277"/>
      <c r="S137" s="277"/>
      <c r="T137" s="277"/>
      <c r="U137" s="277"/>
      <c r="V137" s="277"/>
      <c r="W137" s="277"/>
    </row>
    <row r="138" spans="1:23" s="278" customFormat="1" ht="22.5" customHeight="1" x14ac:dyDescent="0.2">
      <c r="A138" s="294"/>
      <c r="B138" s="308"/>
      <c r="C138" s="308"/>
      <c r="D138" s="302"/>
      <c r="E138" s="179"/>
      <c r="F138" s="204"/>
      <c r="G138" s="205"/>
      <c r="H138" s="302"/>
      <c r="I138" s="308"/>
      <c r="J138" s="308"/>
      <c r="K138" s="302"/>
      <c r="L138" s="308"/>
      <c r="M138" s="308"/>
      <c r="N138" s="308"/>
      <c r="O138" s="308"/>
      <c r="P138" s="277"/>
      <c r="Q138" s="277"/>
      <c r="R138" s="277"/>
      <c r="S138" s="277"/>
      <c r="T138" s="277"/>
      <c r="U138" s="277"/>
      <c r="V138" s="277"/>
      <c r="W138" s="277"/>
    </row>
    <row r="139" spans="1:23" s="278" customFormat="1" ht="22.5" customHeight="1" x14ac:dyDescent="0.2">
      <c r="A139" s="294"/>
      <c r="B139" s="308"/>
      <c r="C139" s="308"/>
      <c r="D139" s="302"/>
      <c r="E139" s="180"/>
      <c r="F139" s="202"/>
      <c r="G139" s="203"/>
      <c r="H139" s="302"/>
      <c r="I139" s="308"/>
      <c r="J139" s="308"/>
      <c r="K139" s="302"/>
      <c r="L139" s="308"/>
      <c r="M139" s="308"/>
      <c r="N139" s="308"/>
      <c r="O139" s="308"/>
      <c r="P139" s="277"/>
      <c r="Q139" s="277"/>
      <c r="R139" s="277"/>
      <c r="S139" s="277"/>
      <c r="T139" s="277"/>
      <c r="U139" s="277"/>
      <c r="V139" s="277"/>
      <c r="W139" s="277"/>
    </row>
    <row r="140" spans="1:23" s="278" customFormat="1" ht="22.5" customHeight="1" x14ac:dyDescent="0.2">
      <c r="A140" s="294"/>
      <c r="B140" s="308"/>
      <c r="C140" s="308"/>
      <c r="D140" s="302"/>
      <c r="E140" s="179"/>
      <c r="F140" s="204"/>
      <c r="G140" s="205"/>
      <c r="H140" s="302"/>
      <c r="I140" s="308"/>
      <c r="J140" s="308"/>
      <c r="K140" s="302"/>
      <c r="L140" s="308"/>
      <c r="M140" s="308"/>
      <c r="N140" s="308"/>
      <c r="O140" s="308"/>
      <c r="P140" s="277"/>
      <c r="Q140" s="277"/>
      <c r="R140" s="277"/>
      <c r="S140" s="277"/>
      <c r="T140" s="277"/>
      <c r="U140" s="277"/>
      <c r="V140" s="277"/>
      <c r="W140" s="277"/>
    </row>
    <row r="141" spans="1:23" s="278" customFormat="1" ht="22.5" customHeight="1" x14ac:dyDescent="0.2">
      <c r="A141" s="294"/>
      <c r="B141" s="308"/>
      <c r="C141" s="308"/>
      <c r="D141" s="302"/>
      <c r="E141" s="180"/>
      <c r="F141" s="202"/>
      <c r="G141" s="203"/>
      <c r="H141" s="302"/>
      <c r="I141" s="308"/>
      <c r="J141" s="308"/>
      <c r="K141" s="302"/>
      <c r="L141" s="308"/>
      <c r="M141" s="308"/>
      <c r="N141" s="308"/>
      <c r="O141" s="308"/>
      <c r="P141" s="277"/>
      <c r="Q141" s="277"/>
      <c r="R141" s="277"/>
      <c r="S141" s="277"/>
      <c r="T141" s="277"/>
      <c r="U141" s="277"/>
      <c r="V141" s="277"/>
      <c r="W141" s="277"/>
    </row>
    <row r="142" spans="1:23" s="278" customFormat="1" ht="22.5" customHeight="1" x14ac:dyDescent="0.2">
      <c r="A142" s="294"/>
      <c r="B142" s="308"/>
      <c r="C142" s="308"/>
      <c r="D142" s="302"/>
      <c r="E142" s="179"/>
      <c r="F142" s="204"/>
      <c r="G142" s="205"/>
      <c r="H142" s="302"/>
      <c r="I142" s="308"/>
      <c r="J142" s="308"/>
      <c r="K142" s="302"/>
      <c r="L142" s="308"/>
      <c r="M142" s="308"/>
      <c r="N142" s="308"/>
      <c r="O142" s="308"/>
      <c r="P142" s="277"/>
      <c r="Q142" s="277"/>
      <c r="R142" s="277"/>
      <c r="S142" s="277"/>
      <c r="T142" s="277"/>
      <c r="U142" s="277"/>
      <c r="V142" s="277"/>
      <c r="W142" s="277"/>
    </row>
    <row r="143" spans="1:23" s="278" customFormat="1" ht="22.5" customHeight="1" x14ac:dyDescent="0.2">
      <c r="A143" s="294"/>
      <c r="B143" s="308"/>
      <c r="C143" s="308"/>
      <c r="D143" s="302"/>
      <c r="E143" s="180"/>
      <c r="F143" s="202"/>
      <c r="G143" s="203"/>
      <c r="H143" s="302"/>
      <c r="I143" s="308"/>
      <c r="J143" s="308"/>
      <c r="K143" s="302"/>
      <c r="L143" s="308"/>
      <c r="M143" s="308"/>
      <c r="N143" s="308"/>
      <c r="O143" s="308"/>
      <c r="P143" s="277"/>
      <c r="Q143" s="277"/>
      <c r="R143" s="277"/>
      <c r="S143" s="277"/>
      <c r="T143" s="277"/>
      <c r="U143" s="277"/>
      <c r="V143" s="277"/>
      <c r="W143" s="277"/>
    </row>
    <row r="144" spans="1:23" s="278" customFormat="1" ht="22.5" customHeight="1" x14ac:dyDescent="0.2">
      <c r="A144" s="294"/>
      <c r="B144" s="308"/>
      <c r="C144" s="308"/>
      <c r="D144" s="302"/>
      <c r="E144" s="179"/>
      <c r="F144" s="204"/>
      <c r="G144" s="205"/>
      <c r="H144" s="302"/>
      <c r="I144" s="308"/>
      <c r="J144" s="308"/>
      <c r="K144" s="302"/>
      <c r="L144" s="308"/>
      <c r="M144" s="308"/>
      <c r="N144" s="308"/>
      <c r="O144" s="308"/>
      <c r="P144" s="277"/>
      <c r="Q144" s="277"/>
      <c r="R144" s="277"/>
      <c r="S144" s="277"/>
      <c r="T144" s="277"/>
      <c r="U144" s="277"/>
      <c r="V144" s="277"/>
      <c r="W144" s="277"/>
    </row>
    <row r="145" spans="1:23" s="278" customFormat="1" ht="22.5" customHeight="1" x14ac:dyDescent="0.2">
      <c r="A145" s="294"/>
      <c r="B145" s="308"/>
      <c r="C145" s="308"/>
      <c r="D145" s="302"/>
      <c r="E145" s="180"/>
      <c r="F145" s="202"/>
      <c r="G145" s="203"/>
      <c r="H145" s="302"/>
      <c r="I145" s="308"/>
      <c r="J145" s="308"/>
      <c r="K145" s="302"/>
      <c r="L145" s="308"/>
      <c r="M145" s="308"/>
      <c r="N145" s="308"/>
      <c r="O145" s="308"/>
      <c r="P145" s="277"/>
      <c r="Q145" s="277"/>
      <c r="R145" s="277"/>
      <c r="S145" s="277"/>
      <c r="T145" s="277"/>
      <c r="U145" s="277"/>
      <c r="V145" s="277"/>
      <c r="W145" s="277"/>
    </row>
    <row r="146" spans="1:23" s="278" customFormat="1" ht="22.5" customHeight="1" x14ac:dyDescent="0.2">
      <c r="A146" s="294"/>
      <c r="B146" s="308"/>
      <c r="C146" s="308"/>
      <c r="D146" s="302"/>
      <c r="E146" s="179"/>
      <c r="F146" s="204"/>
      <c r="G146" s="205"/>
      <c r="H146" s="302"/>
      <c r="I146" s="308"/>
      <c r="J146" s="308"/>
      <c r="K146" s="302"/>
      <c r="L146" s="308"/>
      <c r="M146" s="308"/>
      <c r="N146" s="308"/>
      <c r="O146" s="308"/>
      <c r="P146" s="277"/>
      <c r="Q146" s="277"/>
      <c r="R146" s="277"/>
      <c r="S146" s="277"/>
      <c r="T146" s="277"/>
      <c r="U146" s="277"/>
      <c r="V146" s="277"/>
      <c r="W146" s="277"/>
    </row>
    <row r="147" spans="1:23" s="278" customFormat="1" ht="22.5" customHeight="1" x14ac:dyDescent="0.2">
      <c r="A147" s="294"/>
      <c r="B147" s="308"/>
      <c r="C147" s="308"/>
      <c r="D147" s="302"/>
      <c r="E147" s="180"/>
      <c r="F147" s="202"/>
      <c r="G147" s="203"/>
      <c r="H147" s="302"/>
      <c r="I147" s="308"/>
      <c r="J147" s="308"/>
      <c r="K147" s="302"/>
      <c r="L147" s="308"/>
      <c r="M147" s="308"/>
      <c r="N147" s="308"/>
      <c r="O147" s="308"/>
      <c r="P147" s="277"/>
      <c r="Q147" s="277"/>
      <c r="R147" s="277"/>
      <c r="S147" s="277"/>
      <c r="T147" s="277"/>
      <c r="U147" s="277"/>
      <c r="V147" s="277"/>
      <c r="W147" s="277"/>
    </row>
    <row r="148" spans="1:23" s="278" customFormat="1" ht="22.5" customHeight="1" x14ac:dyDescent="0.2">
      <c r="A148" s="294"/>
      <c r="B148" s="308"/>
      <c r="C148" s="308"/>
      <c r="D148" s="302"/>
      <c r="E148" s="179"/>
      <c r="F148" s="204"/>
      <c r="G148" s="205"/>
      <c r="H148" s="302"/>
      <c r="I148" s="308"/>
      <c r="J148" s="308"/>
      <c r="K148" s="302"/>
      <c r="L148" s="308"/>
      <c r="M148" s="308"/>
      <c r="N148" s="308"/>
      <c r="O148" s="308"/>
      <c r="P148" s="277"/>
      <c r="Q148" s="277"/>
      <c r="R148" s="277"/>
      <c r="S148" s="277"/>
      <c r="T148" s="277"/>
      <c r="U148" s="277"/>
      <c r="V148" s="277"/>
      <c r="W148" s="277"/>
    </row>
    <row r="149" spans="1:23" s="278" customFormat="1" ht="22.5" customHeight="1" x14ac:dyDescent="0.2">
      <c r="A149" s="294"/>
      <c r="B149" s="308"/>
      <c r="C149" s="308"/>
      <c r="D149" s="302"/>
      <c r="E149" s="180"/>
      <c r="F149" s="202"/>
      <c r="G149" s="203"/>
      <c r="H149" s="302"/>
      <c r="I149" s="308"/>
      <c r="J149" s="308"/>
      <c r="K149" s="302"/>
      <c r="L149" s="308"/>
      <c r="M149" s="308"/>
      <c r="N149" s="308"/>
      <c r="O149" s="308"/>
      <c r="P149" s="277"/>
      <c r="Q149" s="277"/>
      <c r="R149" s="277"/>
      <c r="S149" s="277"/>
      <c r="T149" s="277"/>
      <c r="U149" s="277"/>
      <c r="V149" s="277"/>
      <c r="W149" s="277"/>
    </row>
    <row r="150" spans="1:23" s="278" customFormat="1" ht="22.5" customHeight="1" x14ac:dyDescent="0.2">
      <c r="A150" s="294"/>
      <c r="B150" s="308"/>
      <c r="C150" s="308"/>
      <c r="D150" s="302"/>
      <c r="E150" s="179"/>
      <c r="F150" s="204"/>
      <c r="G150" s="205"/>
      <c r="H150" s="302"/>
      <c r="I150" s="308"/>
      <c r="J150" s="308"/>
      <c r="K150" s="302"/>
      <c r="L150" s="308"/>
      <c r="M150" s="308"/>
      <c r="N150" s="308"/>
      <c r="O150" s="308"/>
      <c r="P150" s="277"/>
      <c r="Q150" s="277"/>
      <c r="R150" s="277"/>
      <c r="S150" s="277"/>
      <c r="T150" s="277"/>
      <c r="U150" s="277"/>
      <c r="V150" s="277"/>
      <c r="W150" s="277"/>
    </row>
    <row r="151" spans="1:23" s="278" customFormat="1" ht="22.5" customHeight="1" x14ac:dyDescent="0.2">
      <c r="A151" s="294"/>
      <c r="B151" s="308"/>
      <c r="C151" s="308"/>
      <c r="D151" s="302"/>
      <c r="E151" s="180"/>
      <c r="F151" s="202"/>
      <c r="G151" s="203"/>
      <c r="H151" s="302"/>
      <c r="I151" s="308"/>
      <c r="J151" s="308"/>
      <c r="K151" s="302"/>
      <c r="L151" s="308"/>
      <c r="M151" s="308"/>
      <c r="N151" s="308"/>
      <c r="O151" s="308"/>
      <c r="P151" s="277"/>
      <c r="Q151" s="277"/>
      <c r="R151" s="277"/>
      <c r="S151" s="277"/>
      <c r="T151" s="277"/>
      <c r="U151" s="277"/>
      <c r="V151" s="277"/>
      <c r="W151" s="277"/>
    </row>
    <row r="152" spans="1:23" s="278" customFormat="1" ht="22.5" customHeight="1" x14ac:dyDescent="0.2">
      <c r="A152" s="294"/>
      <c r="B152" s="308"/>
      <c r="C152" s="308"/>
      <c r="D152" s="302"/>
      <c r="E152" s="179"/>
      <c r="F152" s="204"/>
      <c r="G152" s="205"/>
      <c r="H152" s="302"/>
      <c r="I152" s="308"/>
      <c r="J152" s="308"/>
      <c r="K152" s="302"/>
      <c r="L152" s="308"/>
      <c r="M152" s="308"/>
      <c r="N152" s="308"/>
      <c r="O152" s="308"/>
      <c r="P152" s="277"/>
      <c r="Q152" s="277"/>
      <c r="R152" s="277"/>
      <c r="S152" s="277"/>
      <c r="T152" s="277"/>
      <c r="U152" s="277"/>
      <c r="V152" s="277"/>
      <c r="W152" s="277"/>
    </row>
    <row r="153" spans="1:23" s="278" customFormat="1" ht="22.5" customHeight="1" x14ac:dyDescent="0.2">
      <c r="A153" s="294"/>
      <c r="B153" s="308"/>
      <c r="C153" s="308"/>
      <c r="D153" s="302"/>
      <c r="E153" s="180"/>
      <c r="F153" s="202"/>
      <c r="G153" s="203"/>
      <c r="H153" s="302"/>
      <c r="I153" s="308"/>
      <c r="J153" s="308"/>
      <c r="K153" s="302"/>
      <c r="L153" s="308"/>
      <c r="M153" s="308"/>
      <c r="N153" s="308"/>
      <c r="O153" s="308"/>
      <c r="P153" s="277"/>
      <c r="Q153" s="277"/>
      <c r="R153" s="277"/>
      <c r="S153" s="277"/>
      <c r="T153" s="277"/>
      <c r="U153" s="277"/>
      <c r="V153" s="277"/>
      <c r="W153" s="277"/>
    </row>
    <row r="154" spans="1:23" s="278" customFormat="1" ht="22.5" customHeight="1" x14ac:dyDescent="0.2">
      <c r="A154" s="294"/>
      <c r="B154" s="308"/>
      <c r="C154" s="308"/>
      <c r="D154" s="302"/>
      <c r="E154" s="179"/>
      <c r="F154" s="204"/>
      <c r="G154" s="205"/>
      <c r="H154" s="302"/>
      <c r="I154" s="308"/>
      <c r="J154" s="308"/>
      <c r="K154" s="302"/>
      <c r="L154" s="308"/>
      <c r="M154" s="308"/>
      <c r="N154" s="308"/>
      <c r="O154" s="308"/>
      <c r="P154" s="277"/>
      <c r="Q154" s="277"/>
      <c r="R154" s="277"/>
      <c r="S154" s="277"/>
      <c r="T154" s="277"/>
      <c r="U154" s="277"/>
      <c r="V154" s="277"/>
      <c r="W154" s="277"/>
    </row>
    <row r="155" spans="1:23" s="278" customFormat="1" ht="22.5" customHeight="1" x14ac:dyDescent="0.2">
      <c r="A155" s="294"/>
      <c r="B155" s="308"/>
      <c r="C155" s="308"/>
      <c r="D155" s="302"/>
      <c r="E155" s="180"/>
      <c r="F155" s="202"/>
      <c r="G155" s="203"/>
      <c r="H155" s="302"/>
      <c r="I155" s="308"/>
      <c r="J155" s="308"/>
      <c r="K155" s="302"/>
      <c r="L155" s="308"/>
      <c r="M155" s="308"/>
      <c r="N155" s="308"/>
      <c r="O155" s="308"/>
      <c r="P155" s="277"/>
      <c r="Q155" s="277"/>
      <c r="R155" s="277"/>
      <c r="S155" s="277"/>
      <c r="T155" s="277"/>
      <c r="U155" s="277"/>
      <c r="V155" s="277"/>
      <c r="W155" s="277"/>
    </row>
    <row r="156" spans="1:23" s="278" customFormat="1" ht="22.5" customHeight="1" x14ac:dyDescent="0.2">
      <c r="A156" s="294"/>
      <c r="B156" s="308"/>
      <c r="C156" s="308"/>
      <c r="D156" s="302"/>
      <c r="E156" s="179"/>
      <c r="F156" s="204"/>
      <c r="G156" s="205"/>
      <c r="H156" s="302"/>
      <c r="I156" s="308"/>
      <c r="J156" s="308"/>
      <c r="K156" s="302"/>
      <c r="L156" s="308"/>
      <c r="M156" s="308"/>
      <c r="N156" s="308"/>
      <c r="O156" s="308"/>
      <c r="P156" s="277"/>
      <c r="Q156" s="277"/>
      <c r="R156" s="277"/>
      <c r="S156" s="277"/>
      <c r="T156" s="277"/>
      <c r="U156" s="277"/>
      <c r="V156" s="277"/>
      <c r="W156" s="277"/>
    </row>
    <row r="157" spans="1:23" s="278" customFormat="1" ht="22.5" customHeight="1" x14ac:dyDescent="0.2">
      <c r="A157" s="294"/>
      <c r="B157" s="308"/>
      <c r="C157" s="308"/>
      <c r="D157" s="302"/>
      <c r="E157" s="180"/>
      <c r="F157" s="202"/>
      <c r="G157" s="203"/>
      <c r="H157" s="302"/>
      <c r="I157" s="308"/>
      <c r="J157" s="308"/>
      <c r="K157" s="302"/>
      <c r="L157" s="308"/>
      <c r="M157" s="308"/>
      <c r="N157" s="308"/>
      <c r="O157" s="308"/>
      <c r="P157" s="277"/>
      <c r="Q157" s="277"/>
      <c r="R157" s="277"/>
      <c r="S157" s="277"/>
      <c r="T157" s="277"/>
      <c r="U157" s="277"/>
      <c r="V157" s="277"/>
      <c r="W157" s="277"/>
    </row>
    <row r="158" spans="1:23" s="278" customFormat="1" ht="22.5" customHeight="1" x14ac:dyDescent="0.2">
      <c r="A158" s="294"/>
      <c r="B158" s="308"/>
      <c r="C158" s="308"/>
      <c r="D158" s="302"/>
      <c r="E158" s="179"/>
      <c r="F158" s="204"/>
      <c r="G158" s="205"/>
      <c r="H158" s="302"/>
      <c r="I158" s="308"/>
      <c r="J158" s="308"/>
      <c r="K158" s="302"/>
      <c r="L158" s="308"/>
      <c r="M158" s="308"/>
      <c r="N158" s="308"/>
      <c r="O158" s="308"/>
      <c r="P158" s="277"/>
      <c r="Q158" s="277"/>
      <c r="R158" s="277"/>
      <c r="S158" s="277"/>
      <c r="T158" s="277"/>
      <c r="U158" s="277"/>
      <c r="V158" s="277"/>
      <c r="W158" s="277"/>
    </row>
    <row r="159" spans="1:23" s="278" customFormat="1" ht="22.5" customHeight="1" x14ac:dyDescent="0.2">
      <c r="A159" s="294"/>
      <c r="B159" s="308"/>
      <c r="C159" s="308"/>
      <c r="D159" s="302"/>
      <c r="E159" s="180"/>
      <c r="F159" s="202"/>
      <c r="G159" s="203"/>
      <c r="H159" s="302"/>
      <c r="I159" s="308"/>
      <c r="J159" s="308"/>
      <c r="K159" s="302"/>
      <c r="L159" s="308"/>
      <c r="M159" s="308"/>
      <c r="N159" s="308"/>
      <c r="O159" s="308"/>
      <c r="P159" s="277"/>
      <c r="Q159" s="277"/>
      <c r="R159" s="277"/>
      <c r="S159" s="277"/>
      <c r="T159" s="277"/>
      <c r="U159" s="277"/>
      <c r="V159" s="277"/>
      <c r="W159" s="277"/>
    </row>
    <row r="160" spans="1:23" s="278" customFormat="1" ht="22.5" customHeight="1" x14ac:dyDescent="0.2">
      <c r="A160" s="294"/>
      <c r="B160" s="308"/>
      <c r="C160" s="308"/>
      <c r="D160" s="302"/>
      <c r="E160" s="179"/>
      <c r="F160" s="204"/>
      <c r="G160" s="205"/>
      <c r="H160" s="302"/>
      <c r="I160" s="308"/>
      <c r="J160" s="308"/>
      <c r="K160" s="302"/>
      <c r="L160" s="308"/>
      <c r="M160" s="308"/>
      <c r="N160" s="308"/>
      <c r="O160" s="308"/>
      <c r="P160" s="277"/>
      <c r="Q160" s="277"/>
      <c r="R160" s="277"/>
      <c r="S160" s="277"/>
      <c r="T160" s="277"/>
      <c r="U160" s="277"/>
      <c r="V160" s="277"/>
      <c r="W160" s="277"/>
    </row>
    <row r="161" spans="1:23" s="278" customFormat="1" ht="22.5" customHeight="1" x14ac:dyDescent="0.2">
      <c r="A161" s="294"/>
      <c r="B161" s="308"/>
      <c r="C161" s="308"/>
      <c r="D161" s="302"/>
      <c r="E161" s="180"/>
      <c r="F161" s="202"/>
      <c r="G161" s="203"/>
      <c r="H161" s="302"/>
      <c r="I161" s="308"/>
      <c r="J161" s="308"/>
      <c r="K161" s="302"/>
      <c r="L161" s="308"/>
      <c r="M161" s="308"/>
      <c r="N161" s="308"/>
      <c r="O161" s="308"/>
      <c r="P161" s="277"/>
      <c r="Q161" s="277"/>
      <c r="R161" s="277"/>
      <c r="S161" s="277"/>
      <c r="T161" s="277"/>
      <c r="U161" s="277"/>
      <c r="V161" s="277"/>
      <c r="W161" s="277"/>
    </row>
    <row r="162" spans="1:23" s="278" customFormat="1" ht="22.5" customHeight="1" x14ac:dyDescent="0.2">
      <c r="A162" s="294"/>
      <c r="B162" s="308"/>
      <c r="C162" s="308"/>
      <c r="D162" s="302"/>
      <c r="E162" s="179"/>
      <c r="F162" s="204"/>
      <c r="G162" s="205"/>
      <c r="H162" s="302"/>
      <c r="I162" s="308"/>
      <c r="J162" s="308"/>
      <c r="K162" s="302"/>
      <c r="L162" s="308"/>
      <c r="M162" s="308"/>
      <c r="N162" s="308"/>
      <c r="O162" s="308"/>
      <c r="P162" s="277"/>
      <c r="Q162" s="277"/>
      <c r="R162" s="277"/>
      <c r="S162" s="277"/>
      <c r="T162" s="277"/>
      <c r="U162" s="277"/>
      <c r="V162" s="277"/>
      <c r="W162" s="277"/>
    </row>
    <row r="163" spans="1:23" s="278" customFormat="1" ht="22.5" customHeight="1" x14ac:dyDescent="0.2">
      <c r="A163" s="294"/>
      <c r="B163" s="308"/>
      <c r="C163" s="308"/>
      <c r="D163" s="302"/>
      <c r="E163" s="180"/>
      <c r="F163" s="202"/>
      <c r="G163" s="203"/>
      <c r="H163" s="302"/>
      <c r="I163" s="308"/>
      <c r="J163" s="308"/>
      <c r="K163" s="302"/>
      <c r="L163" s="308"/>
      <c r="M163" s="308"/>
      <c r="N163" s="308"/>
      <c r="O163" s="308"/>
      <c r="P163" s="277"/>
      <c r="Q163" s="277"/>
      <c r="R163" s="277"/>
      <c r="S163" s="277"/>
      <c r="T163" s="277"/>
      <c r="U163" s="277"/>
      <c r="V163" s="277"/>
      <c r="W163" s="277"/>
    </row>
    <row r="164" spans="1:23" s="278" customFormat="1" ht="22.5" customHeight="1" x14ac:dyDescent="0.2">
      <c r="A164" s="294"/>
      <c r="B164" s="308"/>
      <c r="C164" s="308"/>
      <c r="D164" s="302"/>
      <c r="E164" s="179"/>
      <c r="F164" s="204"/>
      <c r="G164" s="205"/>
      <c r="H164" s="302"/>
      <c r="I164" s="308"/>
      <c r="J164" s="308"/>
      <c r="K164" s="302"/>
      <c r="L164" s="308"/>
      <c r="M164" s="308"/>
      <c r="N164" s="308"/>
      <c r="O164" s="308"/>
      <c r="P164" s="277"/>
      <c r="Q164" s="277"/>
      <c r="R164" s="277"/>
      <c r="S164" s="277"/>
      <c r="T164" s="277"/>
      <c r="U164" s="277"/>
      <c r="V164" s="277"/>
      <c r="W164" s="277"/>
    </row>
    <row r="165" spans="1:23" s="278" customFormat="1" ht="22.5" customHeight="1" x14ac:dyDescent="0.2">
      <c r="A165" s="294"/>
      <c r="B165" s="308"/>
      <c r="C165" s="308"/>
      <c r="D165" s="302"/>
      <c r="E165" s="180"/>
      <c r="F165" s="202"/>
      <c r="G165" s="203"/>
      <c r="H165" s="302"/>
      <c r="I165" s="308"/>
      <c r="J165" s="308"/>
      <c r="K165" s="302"/>
      <c r="L165" s="308"/>
      <c r="M165" s="308"/>
      <c r="N165" s="308"/>
      <c r="O165" s="308"/>
      <c r="P165" s="277"/>
      <c r="Q165" s="277"/>
      <c r="R165" s="277"/>
      <c r="S165" s="277"/>
      <c r="T165" s="277"/>
      <c r="U165" s="277"/>
      <c r="V165" s="277"/>
      <c r="W165" s="277"/>
    </row>
    <row r="166" spans="1:23" s="278" customFormat="1" ht="22.5" customHeight="1" x14ac:dyDescent="0.2">
      <c r="A166" s="294"/>
      <c r="B166" s="308"/>
      <c r="C166" s="308"/>
      <c r="D166" s="302"/>
      <c r="E166" s="179"/>
      <c r="F166" s="204"/>
      <c r="G166" s="205"/>
      <c r="H166" s="302"/>
      <c r="I166" s="308"/>
      <c r="J166" s="308"/>
      <c r="K166" s="302"/>
      <c r="L166" s="308"/>
      <c r="M166" s="308"/>
      <c r="N166" s="308"/>
      <c r="O166" s="308"/>
      <c r="P166" s="277"/>
      <c r="Q166" s="277"/>
      <c r="R166" s="277"/>
      <c r="S166" s="277"/>
      <c r="T166" s="277"/>
      <c r="U166" s="277"/>
      <c r="V166" s="277"/>
      <c r="W166" s="277"/>
    </row>
    <row r="167" spans="1:23" s="278" customFormat="1" ht="22.5" customHeight="1" x14ac:dyDescent="0.2">
      <c r="A167" s="294"/>
      <c r="B167" s="308"/>
      <c r="C167" s="308"/>
      <c r="D167" s="302"/>
      <c r="E167" s="180"/>
      <c r="F167" s="202"/>
      <c r="G167" s="203"/>
      <c r="H167" s="302"/>
      <c r="I167" s="308"/>
      <c r="J167" s="308"/>
      <c r="K167" s="302"/>
      <c r="L167" s="308"/>
      <c r="M167" s="308"/>
      <c r="N167" s="308"/>
      <c r="O167" s="308"/>
      <c r="P167" s="277"/>
      <c r="Q167" s="277"/>
      <c r="R167" s="277"/>
      <c r="S167" s="277"/>
      <c r="T167" s="277"/>
      <c r="U167" s="277"/>
      <c r="V167" s="277"/>
      <c r="W167" s="277"/>
    </row>
    <row r="168" spans="1:23" s="278" customFormat="1" ht="22.5" customHeight="1" x14ac:dyDescent="0.2">
      <c r="A168" s="294"/>
      <c r="B168" s="308"/>
      <c r="C168" s="308"/>
      <c r="D168" s="302"/>
      <c r="E168" s="179"/>
      <c r="F168" s="204"/>
      <c r="G168" s="205"/>
      <c r="H168" s="302"/>
      <c r="I168" s="308"/>
      <c r="J168" s="308"/>
      <c r="K168" s="302"/>
      <c r="L168" s="308"/>
      <c r="M168" s="308"/>
      <c r="N168" s="308"/>
      <c r="O168" s="308"/>
      <c r="P168" s="277"/>
      <c r="Q168" s="277"/>
      <c r="R168" s="277"/>
      <c r="S168" s="277"/>
      <c r="T168" s="277"/>
      <c r="U168" s="277"/>
      <c r="V168" s="277"/>
      <c r="W168" s="277"/>
    </row>
    <row r="169" spans="1:23" s="278" customFormat="1" ht="22.5" customHeight="1" x14ac:dyDescent="0.2">
      <c r="A169" s="294"/>
      <c r="B169" s="308"/>
      <c r="C169" s="308"/>
      <c r="D169" s="302"/>
      <c r="E169" s="180"/>
      <c r="F169" s="202"/>
      <c r="G169" s="203"/>
      <c r="H169" s="302"/>
      <c r="I169" s="308"/>
      <c r="J169" s="308"/>
      <c r="K169" s="302"/>
      <c r="L169" s="308"/>
      <c r="M169" s="308"/>
      <c r="N169" s="308"/>
      <c r="O169" s="308"/>
      <c r="P169" s="277"/>
      <c r="Q169" s="277"/>
      <c r="R169" s="277"/>
      <c r="S169" s="277"/>
      <c r="T169" s="277"/>
      <c r="U169" s="277"/>
      <c r="V169" s="277"/>
      <c r="W169" s="277"/>
    </row>
    <row r="170" spans="1:23" s="278" customFormat="1" ht="22.5" customHeight="1" x14ac:dyDescent="0.2">
      <c r="A170" s="294"/>
      <c r="B170" s="308"/>
      <c r="C170" s="308"/>
      <c r="D170" s="302"/>
      <c r="E170" s="179"/>
      <c r="F170" s="204"/>
      <c r="G170" s="205"/>
      <c r="H170" s="302"/>
      <c r="I170" s="308"/>
      <c r="J170" s="308"/>
      <c r="K170" s="302"/>
      <c r="L170" s="308"/>
      <c r="M170" s="308"/>
      <c r="N170" s="308"/>
      <c r="O170" s="308"/>
      <c r="P170" s="277"/>
      <c r="Q170" s="277"/>
      <c r="R170" s="277"/>
      <c r="S170" s="277"/>
      <c r="T170" s="277"/>
      <c r="U170" s="277"/>
      <c r="V170" s="277"/>
      <c r="W170" s="277"/>
    </row>
    <row r="171" spans="1:23" s="278" customFormat="1" ht="22.5" customHeight="1" x14ac:dyDescent="0.2">
      <c r="A171" s="294"/>
      <c r="B171" s="308"/>
      <c r="C171" s="308"/>
      <c r="D171" s="302"/>
      <c r="E171" s="180"/>
      <c r="F171" s="202"/>
      <c r="G171" s="203"/>
      <c r="H171" s="302"/>
      <c r="I171" s="308"/>
      <c r="J171" s="308"/>
      <c r="K171" s="302"/>
      <c r="L171" s="308"/>
      <c r="M171" s="308"/>
      <c r="N171" s="308"/>
      <c r="O171" s="308"/>
      <c r="P171" s="277"/>
      <c r="Q171" s="277"/>
      <c r="R171" s="277"/>
      <c r="S171" s="277"/>
      <c r="T171" s="277"/>
      <c r="U171" s="277"/>
      <c r="V171" s="277"/>
      <c r="W171" s="277"/>
    </row>
    <row r="172" spans="1:23" s="278" customFormat="1" ht="22.5" customHeight="1" x14ac:dyDescent="0.2">
      <c r="A172" s="294"/>
      <c r="B172" s="308"/>
      <c r="C172" s="308"/>
      <c r="D172" s="302"/>
      <c r="E172" s="179"/>
      <c r="F172" s="204"/>
      <c r="G172" s="205"/>
      <c r="H172" s="302"/>
      <c r="I172" s="308"/>
      <c r="J172" s="308"/>
      <c r="K172" s="302"/>
      <c r="L172" s="308"/>
      <c r="M172" s="308"/>
      <c r="N172" s="308"/>
      <c r="O172" s="308"/>
      <c r="P172" s="277"/>
      <c r="Q172" s="277"/>
      <c r="R172" s="277"/>
      <c r="S172" s="277"/>
      <c r="T172" s="277"/>
      <c r="U172" s="277"/>
      <c r="V172" s="277"/>
      <c r="W172" s="277"/>
    </row>
    <row r="173" spans="1:23" s="278" customFormat="1" ht="22.5" customHeight="1" x14ac:dyDescent="0.2">
      <c r="A173" s="294"/>
      <c r="B173" s="308"/>
      <c r="C173" s="308"/>
      <c r="D173" s="302"/>
      <c r="E173" s="180"/>
      <c r="F173" s="202"/>
      <c r="G173" s="203"/>
      <c r="H173" s="302"/>
      <c r="I173" s="308"/>
      <c r="J173" s="308"/>
      <c r="K173" s="302"/>
      <c r="L173" s="308"/>
      <c r="M173" s="308"/>
      <c r="N173" s="308"/>
      <c r="O173" s="308"/>
      <c r="P173" s="277"/>
      <c r="Q173" s="277"/>
      <c r="R173" s="277"/>
      <c r="S173" s="277"/>
      <c r="T173" s="277"/>
      <c r="U173" s="277"/>
      <c r="V173" s="277"/>
      <c r="W173" s="277"/>
    </row>
    <row r="174" spans="1:23" s="278" customFormat="1" ht="22.5" customHeight="1" x14ac:dyDescent="0.2">
      <c r="A174" s="294"/>
      <c r="B174" s="308"/>
      <c r="C174" s="308"/>
      <c r="D174" s="302"/>
      <c r="E174" s="179"/>
      <c r="F174" s="204"/>
      <c r="G174" s="205"/>
      <c r="H174" s="302"/>
      <c r="I174" s="308"/>
      <c r="J174" s="308"/>
      <c r="K174" s="302"/>
      <c r="L174" s="308"/>
      <c r="M174" s="308"/>
      <c r="N174" s="308"/>
      <c r="O174" s="308"/>
      <c r="P174" s="277"/>
      <c r="Q174" s="277"/>
      <c r="R174" s="277"/>
      <c r="S174" s="277"/>
      <c r="T174" s="277"/>
      <c r="U174" s="277"/>
      <c r="V174" s="277"/>
      <c r="W174" s="277"/>
    </row>
    <row r="175" spans="1:23" s="278" customFormat="1" ht="22.5" customHeight="1" x14ac:dyDescent="0.2">
      <c r="A175" s="294"/>
      <c r="B175" s="308"/>
      <c r="C175" s="308"/>
      <c r="D175" s="302"/>
      <c r="E175" s="180"/>
      <c r="F175" s="202"/>
      <c r="G175" s="203"/>
      <c r="H175" s="302"/>
      <c r="I175" s="308"/>
      <c r="J175" s="308"/>
      <c r="K175" s="302"/>
      <c r="L175" s="308"/>
      <c r="M175" s="308"/>
      <c r="N175" s="308"/>
      <c r="O175" s="308"/>
      <c r="P175" s="277"/>
      <c r="Q175" s="277"/>
      <c r="R175" s="277"/>
      <c r="S175" s="277"/>
      <c r="T175" s="277"/>
      <c r="U175" s="277"/>
      <c r="V175" s="277"/>
      <c r="W175" s="277"/>
    </row>
    <row r="176" spans="1:23" s="278" customFormat="1" ht="22.5" customHeight="1" x14ac:dyDescent="0.2">
      <c r="A176" s="294"/>
      <c r="B176" s="308"/>
      <c r="C176" s="308"/>
      <c r="D176" s="302"/>
      <c r="E176" s="179"/>
      <c r="F176" s="204"/>
      <c r="G176" s="205"/>
      <c r="H176" s="302"/>
      <c r="I176" s="308"/>
      <c r="J176" s="308"/>
      <c r="K176" s="302"/>
      <c r="L176" s="308"/>
      <c r="M176" s="308"/>
      <c r="N176" s="308"/>
      <c r="O176" s="308"/>
      <c r="P176" s="277"/>
      <c r="Q176" s="277"/>
      <c r="R176" s="277"/>
      <c r="S176" s="277"/>
      <c r="T176" s="277"/>
      <c r="U176" s="277"/>
      <c r="V176" s="277"/>
      <c r="W176" s="277"/>
    </row>
    <row r="177" spans="1:23" s="278" customFormat="1" ht="22.5" customHeight="1" x14ac:dyDescent="0.2">
      <c r="A177" s="294"/>
      <c r="B177" s="308"/>
      <c r="C177" s="308"/>
      <c r="D177" s="302"/>
      <c r="E177" s="180"/>
      <c r="F177" s="202"/>
      <c r="G177" s="203"/>
      <c r="H177" s="302"/>
      <c r="I177" s="308"/>
      <c r="J177" s="308"/>
      <c r="K177" s="302"/>
      <c r="L177" s="308"/>
      <c r="M177" s="308"/>
      <c r="N177" s="308"/>
      <c r="O177" s="308"/>
      <c r="P177" s="277"/>
      <c r="Q177" s="277"/>
      <c r="R177" s="277"/>
      <c r="S177" s="277"/>
      <c r="T177" s="277"/>
      <c r="U177" s="277"/>
      <c r="V177" s="277"/>
      <c r="W177" s="277"/>
    </row>
    <row r="178" spans="1:23" s="278" customFormat="1" ht="22.5" customHeight="1" x14ac:dyDescent="0.2">
      <c r="A178" s="294"/>
      <c r="B178" s="308"/>
      <c r="C178" s="308"/>
      <c r="D178" s="302"/>
      <c r="E178" s="179"/>
      <c r="F178" s="204"/>
      <c r="G178" s="205"/>
      <c r="H178" s="302"/>
      <c r="I178" s="308"/>
      <c r="J178" s="308"/>
      <c r="K178" s="302"/>
      <c r="L178" s="308"/>
      <c r="M178" s="308"/>
      <c r="N178" s="308"/>
      <c r="O178" s="308"/>
      <c r="P178" s="277"/>
      <c r="Q178" s="277"/>
      <c r="R178" s="277"/>
      <c r="S178" s="277"/>
      <c r="T178" s="277"/>
      <c r="U178" s="277"/>
      <c r="V178" s="277"/>
      <c r="W178" s="277"/>
    </row>
    <row r="179" spans="1:23" s="278" customFormat="1" ht="22.5" customHeight="1" x14ac:dyDescent="0.2">
      <c r="A179" s="294"/>
      <c r="B179" s="308"/>
      <c r="C179" s="308"/>
      <c r="D179" s="302"/>
      <c r="E179" s="180"/>
      <c r="F179" s="202"/>
      <c r="G179" s="203"/>
      <c r="H179" s="302"/>
      <c r="I179" s="308"/>
      <c r="J179" s="308"/>
      <c r="K179" s="302"/>
      <c r="L179" s="308"/>
      <c r="M179" s="308"/>
      <c r="N179" s="308"/>
      <c r="O179" s="308"/>
      <c r="P179" s="277"/>
      <c r="Q179" s="277"/>
      <c r="R179" s="277"/>
      <c r="S179" s="277"/>
      <c r="T179" s="277"/>
      <c r="U179" s="277"/>
      <c r="V179" s="277"/>
      <c r="W179" s="277"/>
    </row>
    <row r="180" spans="1:23" s="278" customFormat="1" ht="22.5" customHeight="1" x14ac:dyDescent="0.2">
      <c r="A180" s="294"/>
      <c r="B180" s="308"/>
      <c r="C180" s="308"/>
      <c r="D180" s="302"/>
      <c r="E180" s="179"/>
      <c r="F180" s="204"/>
      <c r="G180" s="205"/>
      <c r="H180" s="302"/>
      <c r="I180" s="308"/>
      <c r="J180" s="308"/>
      <c r="K180" s="302"/>
      <c r="L180" s="308"/>
      <c r="M180" s="308"/>
      <c r="N180" s="308"/>
      <c r="O180" s="308"/>
      <c r="P180" s="277"/>
      <c r="Q180" s="277"/>
      <c r="R180" s="277"/>
      <c r="S180" s="277"/>
      <c r="T180" s="277"/>
      <c r="U180" s="277"/>
      <c r="V180" s="277"/>
      <c r="W180" s="277"/>
    </row>
    <row r="181" spans="1:23" s="278" customFormat="1" ht="22.5" customHeight="1" x14ac:dyDescent="0.2">
      <c r="A181" s="294"/>
      <c r="B181" s="308"/>
      <c r="C181" s="308"/>
      <c r="D181" s="302"/>
      <c r="E181" s="180"/>
      <c r="F181" s="202"/>
      <c r="G181" s="203"/>
      <c r="H181" s="302"/>
      <c r="I181" s="308"/>
      <c r="J181" s="308"/>
      <c r="K181" s="302"/>
      <c r="L181" s="308"/>
      <c r="M181" s="308"/>
      <c r="N181" s="308"/>
      <c r="O181" s="308"/>
      <c r="P181" s="277"/>
      <c r="Q181" s="277"/>
      <c r="R181" s="277"/>
      <c r="S181" s="277"/>
      <c r="T181" s="277"/>
      <c r="U181" s="277"/>
      <c r="V181" s="277"/>
      <c r="W181" s="277"/>
    </row>
    <row r="182" spans="1:23" s="278" customFormat="1" ht="22.5" customHeight="1" x14ac:dyDescent="0.2">
      <c r="A182" s="294"/>
      <c r="B182" s="308"/>
      <c r="C182" s="308"/>
      <c r="D182" s="302"/>
      <c r="E182" s="179"/>
      <c r="F182" s="204"/>
      <c r="G182" s="205"/>
      <c r="H182" s="302"/>
      <c r="I182" s="308"/>
      <c r="J182" s="308"/>
      <c r="K182" s="302"/>
      <c r="L182" s="308"/>
      <c r="M182" s="308"/>
      <c r="N182" s="308"/>
      <c r="O182" s="308"/>
      <c r="P182" s="277"/>
      <c r="Q182" s="277"/>
      <c r="R182" s="277"/>
      <c r="S182" s="277"/>
      <c r="T182" s="277"/>
      <c r="U182" s="277"/>
      <c r="V182" s="277"/>
      <c r="W182" s="277"/>
    </row>
    <row r="183" spans="1:23" s="278" customFormat="1" ht="22.5" customHeight="1" x14ac:dyDescent="0.2">
      <c r="A183" s="294"/>
      <c r="B183" s="308"/>
      <c r="C183" s="308"/>
      <c r="D183" s="302"/>
      <c r="E183" s="180"/>
      <c r="F183" s="202"/>
      <c r="G183" s="203"/>
      <c r="H183" s="302"/>
      <c r="I183" s="308"/>
      <c r="J183" s="308"/>
      <c r="K183" s="302"/>
      <c r="L183" s="308"/>
      <c r="M183" s="308"/>
      <c r="N183" s="308"/>
      <c r="O183" s="308"/>
      <c r="P183" s="277"/>
      <c r="Q183" s="277"/>
      <c r="R183" s="277"/>
      <c r="S183" s="277"/>
      <c r="T183" s="277"/>
      <c r="U183" s="277"/>
      <c r="V183" s="277"/>
      <c r="W183" s="277"/>
    </row>
    <row r="184" spans="1:23" s="278" customFormat="1" ht="22.5" customHeight="1" x14ac:dyDescent="0.2">
      <c r="A184" s="294"/>
      <c r="B184" s="308"/>
      <c r="C184" s="308"/>
      <c r="D184" s="302"/>
      <c r="E184" s="179"/>
      <c r="F184" s="204"/>
      <c r="G184" s="205"/>
      <c r="H184" s="302"/>
      <c r="I184" s="308"/>
      <c r="J184" s="308"/>
      <c r="K184" s="302"/>
      <c r="L184" s="308"/>
      <c r="M184" s="308"/>
      <c r="N184" s="308"/>
      <c r="O184" s="308"/>
      <c r="P184" s="277"/>
      <c r="Q184" s="277"/>
      <c r="R184" s="277"/>
      <c r="S184" s="277"/>
      <c r="T184" s="277"/>
      <c r="U184" s="277"/>
      <c r="V184" s="277"/>
      <c r="W184" s="277"/>
    </row>
    <row r="185" spans="1:23" s="278" customFormat="1" ht="22.5" customHeight="1" x14ac:dyDescent="0.2">
      <c r="A185" s="294"/>
      <c r="B185" s="308"/>
      <c r="C185" s="308"/>
      <c r="D185" s="302"/>
      <c r="E185" s="180"/>
      <c r="F185" s="202"/>
      <c r="G185" s="203"/>
      <c r="H185" s="302"/>
      <c r="I185" s="308"/>
      <c r="J185" s="308"/>
      <c r="K185" s="302"/>
      <c r="L185" s="308"/>
      <c r="M185" s="308"/>
      <c r="N185" s="308"/>
      <c r="O185" s="308"/>
      <c r="P185" s="277"/>
      <c r="Q185" s="277"/>
      <c r="R185" s="277"/>
      <c r="S185" s="277"/>
      <c r="T185" s="277"/>
      <c r="U185" s="277"/>
      <c r="V185" s="277"/>
      <c r="W185" s="277"/>
    </row>
    <row r="186" spans="1:23" s="278" customFormat="1" ht="22.5" customHeight="1" x14ac:dyDescent="0.2">
      <c r="A186" s="294"/>
      <c r="B186" s="308"/>
      <c r="C186" s="308"/>
      <c r="D186" s="302"/>
      <c r="E186" s="179"/>
      <c r="F186" s="204"/>
      <c r="G186" s="205"/>
      <c r="H186" s="302"/>
      <c r="I186" s="308"/>
      <c r="J186" s="308"/>
      <c r="K186" s="302"/>
      <c r="L186" s="308"/>
      <c r="M186" s="308"/>
      <c r="N186" s="308"/>
      <c r="O186" s="308"/>
      <c r="P186" s="277"/>
      <c r="Q186" s="277"/>
      <c r="R186" s="277"/>
      <c r="S186" s="277"/>
      <c r="T186" s="277"/>
      <c r="U186" s="277"/>
      <c r="V186" s="277"/>
      <c r="W186" s="277"/>
    </row>
    <row r="187" spans="1:23" s="278" customFormat="1" ht="22.5" customHeight="1" x14ac:dyDescent="0.2">
      <c r="A187" s="294"/>
      <c r="B187" s="308"/>
      <c r="C187" s="308"/>
      <c r="D187" s="302"/>
      <c r="E187" s="180"/>
      <c r="F187" s="202"/>
      <c r="G187" s="203"/>
      <c r="H187" s="302"/>
      <c r="I187" s="308"/>
      <c r="J187" s="308"/>
      <c r="K187" s="302"/>
      <c r="L187" s="308"/>
      <c r="M187" s="308"/>
      <c r="N187" s="308"/>
      <c r="O187" s="308"/>
      <c r="P187" s="277"/>
      <c r="Q187" s="277"/>
      <c r="R187" s="277"/>
      <c r="S187" s="277"/>
      <c r="T187" s="277"/>
      <c r="U187" s="277"/>
      <c r="V187" s="277"/>
      <c r="W187" s="277"/>
    </row>
    <row r="188" spans="1:23" s="278" customFormat="1" ht="22.5" customHeight="1" x14ac:dyDescent="0.2">
      <c r="A188" s="294"/>
      <c r="B188" s="308"/>
      <c r="C188" s="308"/>
      <c r="D188" s="302"/>
      <c r="E188" s="179"/>
      <c r="F188" s="204"/>
      <c r="G188" s="205"/>
      <c r="H188" s="302"/>
      <c r="I188" s="308"/>
      <c r="J188" s="308"/>
      <c r="K188" s="302"/>
      <c r="L188" s="308"/>
      <c r="M188" s="308"/>
      <c r="N188" s="308"/>
      <c r="O188" s="308"/>
      <c r="P188" s="277"/>
      <c r="Q188" s="277"/>
      <c r="R188" s="277"/>
      <c r="S188" s="277"/>
      <c r="T188" s="277"/>
      <c r="U188" s="277"/>
      <c r="V188" s="277"/>
      <c r="W188" s="277"/>
    </row>
    <row r="189" spans="1:23" s="278" customFormat="1" ht="22.5" customHeight="1" x14ac:dyDescent="0.2">
      <c r="A189" s="294"/>
      <c r="B189" s="308"/>
      <c r="C189" s="308"/>
      <c r="D189" s="302"/>
      <c r="E189" s="180"/>
      <c r="F189" s="202"/>
      <c r="G189" s="203"/>
      <c r="H189" s="302"/>
      <c r="I189" s="308"/>
      <c r="J189" s="308"/>
      <c r="K189" s="302"/>
      <c r="L189" s="308"/>
      <c r="M189" s="308"/>
      <c r="N189" s="308"/>
      <c r="O189" s="308"/>
      <c r="P189" s="277"/>
      <c r="Q189" s="277"/>
      <c r="R189" s="277"/>
      <c r="S189" s="277"/>
      <c r="T189" s="277"/>
      <c r="U189" s="277"/>
      <c r="V189" s="277"/>
      <c r="W189" s="277"/>
    </row>
    <row r="190" spans="1:23" s="278" customFormat="1" ht="22.5" customHeight="1" x14ac:dyDescent="0.2">
      <c r="A190" s="294"/>
      <c r="B190" s="308"/>
      <c r="C190" s="308"/>
      <c r="D190" s="302"/>
      <c r="E190" s="179"/>
      <c r="F190" s="204"/>
      <c r="G190" s="205"/>
      <c r="H190" s="302"/>
      <c r="I190" s="308"/>
      <c r="J190" s="308"/>
      <c r="K190" s="302"/>
      <c r="L190" s="308"/>
      <c r="M190" s="308"/>
      <c r="N190" s="308"/>
      <c r="O190" s="308"/>
      <c r="P190" s="277"/>
      <c r="Q190" s="277"/>
      <c r="R190" s="277"/>
      <c r="S190" s="277"/>
      <c r="T190" s="277"/>
      <c r="U190" s="277"/>
      <c r="V190" s="277"/>
      <c r="W190" s="277"/>
    </row>
    <row r="191" spans="1:23" s="278" customFormat="1" ht="22.5" customHeight="1" x14ac:dyDescent="0.2">
      <c r="A191" s="294"/>
      <c r="B191" s="308"/>
      <c r="C191" s="308"/>
      <c r="D191" s="302"/>
      <c r="E191" s="180"/>
      <c r="F191" s="202"/>
      <c r="G191" s="203"/>
      <c r="H191" s="302"/>
      <c r="I191" s="308"/>
      <c r="J191" s="308"/>
      <c r="K191" s="302"/>
      <c r="L191" s="308"/>
      <c r="M191" s="308"/>
      <c r="N191" s="308"/>
      <c r="O191" s="308"/>
      <c r="P191" s="277"/>
      <c r="Q191" s="277"/>
      <c r="R191" s="277"/>
      <c r="S191" s="277"/>
      <c r="T191" s="277"/>
      <c r="U191" s="277"/>
      <c r="V191" s="277"/>
      <c r="W191" s="277"/>
    </row>
    <row r="192" spans="1:23" s="278" customFormat="1" ht="22.5" customHeight="1" x14ac:dyDescent="0.2">
      <c r="A192" s="294"/>
      <c r="B192" s="308"/>
      <c r="C192" s="308"/>
      <c r="D192" s="302"/>
      <c r="E192" s="179"/>
      <c r="F192" s="204"/>
      <c r="G192" s="205"/>
      <c r="H192" s="302"/>
      <c r="I192" s="308"/>
      <c r="J192" s="308"/>
      <c r="K192" s="302"/>
      <c r="L192" s="308"/>
      <c r="M192" s="308"/>
      <c r="N192" s="308"/>
      <c r="O192" s="308"/>
      <c r="P192" s="277"/>
      <c r="Q192" s="277"/>
      <c r="R192" s="277"/>
      <c r="S192" s="277"/>
      <c r="T192" s="277"/>
      <c r="U192" s="277"/>
      <c r="V192" s="277"/>
      <c r="W192" s="277"/>
    </row>
    <row r="193" spans="1:23" s="278" customFormat="1" ht="22.5" customHeight="1" x14ac:dyDescent="0.2">
      <c r="A193" s="294"/>
      <c r="B193" s="308"/>
      <c r="C193" s="308"/>
      <c r="D193" s="302"/>
      <c r="E193" s="180"/>
      <c r="F193" s="202"/>
      <c r="G193" s="203"/>
      <c r="H193" s="302"/>
      <c r="I193" s="308"/>
      <c r="J193" s="308"/>
      <c r="K193" s="302"/>
      <c r="L193" s="308"/>
      <c r="M193" s="308"/>
      <c r="N193" s="308"/>
      <c r="O193" s="308"/>
      <c r="P193" s="277"/>
      <c r="Q193" s="277"/>
      <c r="R193" s="277"/>
      <c r="S193" s="277"/>
      <c r="T193" s="277"/>
      <c r="U193" s="277"/>
      <c r="V193" s="277"/>
      <c r="W193" s="277"/>
    </row>
    <row r="194" spans="1:23" s="278" customFormat="1" ht="22.5" customHeight="1" x14ac:dyDescent="0.2">
      <c r="A194" s="294"/>
      <c r="B194" s="308"/>
      <c r="C194" s="308"/>
      <c r="D194" s="302"/>
      <c r="E194" s="179"/>
      <c r="F194" s="204"/>
      <c r="G194" s="205"/>
      <c r="H194" s="302"/>
      <c r="I194" s="308"/>
      <c r="J194" s="308"/>
      <c r="K194" s="302"/>
      <c r="L194" s="308"/>
      <c r="M194" s="308"/>
      <c r="N194" s="308"/>
      <c r="O194" s="308"/>
      <c r="P194" s="277"/>
      <c r="Q194" s="277"/>
      <c r="R194" s="277"/>
      <c r="S194" s="277"/>
      <c r="T194" s="277"/>
      <c r="U194" s="277"/>
      <c r="V194" s="277"/>
      <c r="W194" s="277"/>
    </row>
    <row r="195" spans="1:23" s="278" customFormat="1" ht="22.5" customHeight="1" x14ac:dyDescent="0.2">
      <c r="A195" s="294"/>
      <c r="B195" s="308"/>
      <c r="C195" s="308"/>
      <c r="D195" s="302"/>
      <c r="E195" s="180"/>
      <c r="F195" s="202"/>
      <c r="G195" s="203"/>
      <c r="H195" s="302"/>
      <c r="I195" s="308"/>
      <c r="J195" s="308"/>
      <c r="K195" s="302"/>
      <c r="L195" s="308"/>
      <c r="M195" s="308"/>
      <c r="N195" s="308"/>
      <c r="O195" s="308"/>
      <c r="P195" s="277"/>
      <c r="Q195" s="277"/>
      <c r="R195" s="277"/>
      <c r="S195" s="277"/>
      <c r="T195" s="277"/>
      <c r="U195" s="277"/>
      <c r="V195" s="277"/>
      <c r="W195" s="277"/>
    </row>
    <row r="196" spans="1:23" s="278" customFormat="1" ht="22.5" customHeight="1" x14ac:dyDescent="0.2">
      <c r="A196" s="294"/>
      <c r="B196" s="308"/>
      <c r="C196" s="308"/>
      <c r="D196" s="302"/>
      <c r="E196" s="179"/>
      <c r="F196" s="204"/>
      <c r="G196" s="205"/>
      <c r="H196" s="302"/>
      <c r="I196" s="308"/>
      <c r="J196" s="308"/>
      <c r="K196" s="302"/>
      <c r="L196" s="308"/>
      <c r="M196" s="308"/>
      <c r="N196" s="308"/>
      <c r="O196" s="308"/>
      <c r="P196" s="277"/>
      <c r="Q196" s="277"/>
      <c r="R196" s="277"/>
      <c r="S196" s="277"/>
      <c r="T196" s="277"/>
      <c r="U196" s="277"/>
      <c r="V196" s="277"/>
      <c r="W196" s="277"/>
    </row>
    <row r="197" spans="1:23" s="278" customFormat="1" ht="22.5" customHeight="1" x14ac:dyDescent="0.2">
      <c r="A197" s="294"/>
      <c r="B197" s="308"/>
      <c r="C197" s="308"/>
      <c r="D197" s="302"/>
      <c r="E197" s="180"/>
      <c r="F197" s="202"/>
      <c r="G197" s="203"/>
      <c r="H197" s="302"/>
      <c r="I197" s="308"/>
      <c r="J197" s="308"/>
      <c r="K197" s="302"/>
      <c r="L197" s="308"/>
      <c r="M197" s="308"/>
      <c r="N197" s="308"/>
      <c r="O197" s="308"/>
      <c r="P197" s="277"/>
      <c r="Q197" s="277"/>
      <c r="R197" s="277"/>
      <c r="S197" s="277"/>
      <c r="T197" s="277"/>
      <c r="U197" s="277"/>
      <c r="V197" s="277"/>
      <c r="W197" s="277"/>
    </row>
    <row r="198" spans="1:23" s="278" customFormat="1" ht="22.5" customHeight="1" x14ac:dyDescent="0.2">
      <c r="A198" s="294"/>
      <c r="B198" s="308"/>
      <c r="C198" s="308"/>
      <c r="D198" s="302"/>
      <c r="E198" s="179"/>
      <c r="F198" s="204"/>
      <c r="G198" s="205"/>
      <c r="H198" s="302"/>
      <c r="I198" s="308"/>
      <c r="J198" s="308"/>
      <c r="K198" s="302"/>
      <c r="L198" s="308"/>
      <c r="M198" s="308"/>
      <c r="N198" s="308"/>
      <c r="O198" s="308"/>
      <c r="P198" s="277"/>
      <c r="Q198" s="277"/>
      <c r="R198" s="277"/>
      <c r="S198" s="277"/>
      <c r="T198" s="277"/>
      <c r="U198" s="277"/>
      <c r="V198" s="277"/>
      <c r="W198" s="277"/>
    </row>
    <row r="199" spans="1:23" s="278" customFormat="1" ht="22.5" customHeight="1" x14ac:dyDescent="0.2">
      <c r="A199" s="294"/>
      <c r="B199" s="308"/>
      <c r="C199" s="308"/>
      <c r="D199" s="302"/>
      <c r="E199" s="180"/>
      <c r="F199" s="202"/>
      <c r="G199" s="203"/>
      <c r="H199" s="302"/>
      <c r="I199" s="308"/>
      <c r="J199" s="308"/>
      <c r="K199" s="302"/>
      <c r="L199" s="308"/>
      <c r="M199" s="308"/>
      <c r="N199" s="308"/>
      <c r="O199" s="308"/>
      <c r="P199" s="277"/>
      <c r="Q199" s="277"/>
      <c r="R199" s="277"/>
      <c r="S199" s="277"/>
      <c r="T199" s="277"/>
      <c r="U199" s="277"/>
      <c r="V199" s="277"/>
      <c r="W199" s="277"/>
    </row>
    <row r="200" spans="1:23" s="278" customFormat="1" ht="22.5" customHeight="1" x14ac:dyDescent="0.2">
      <c r="A200" s="294"/>
      <c r="B200" s="308"/>
      <c r="C200" s="308"/>
      <c r="D200" s="302"/>
      <c r="E200" s="179"/>
      <c r="F200" s="204"/>
      <c r="G200" s="205"/>
      <c r="H200" s="302"/>
      <c r="I200" s="308"/>
      <c r="J200" s="308"/>
      <c r="K200" s="302"/>
      <c r="L200" s="308"/>
      <c r="M200" s="308"/>
      <c r="N200" s="308"/>
      <c r="O200" s="308"/>
      <c r="P200" s="277"/>
      <c r="Q200" s="277"/>
      <c r="R200" s="277"/>
      <c r="S200" s="277"/>
      <c r="T200" s="277"/>
      <c r="U200" s="277"/>
      <c r="V200" s="277"/>
      <c r="W200" s="277"/>
    </row>
    <row r="201" spans="1:23" s="278" customFormat="1" ht="22.5" customHeight="1" x14ac:dyDescent="0.2">
      <c r="A201" s="294"/>
      <c r="B201" s="308"/>
      <c r="C201" s="308"/>
      <c r="D201" s="302"/>
      <c r="E201" s="180"/>
      <c r="F201" s="202"/>
      <c r="G201" s="203"/>
      <c r="H201" s="302"/>
      <c r="I201" s="308"/>
      <c r="J201" s="308"/>
      <c r="K201" s="302"/>
      <c r="L201" s="308"/>
      <c r="M201" s="308"/>
      <c r="N201" s="308"/>
      <c r="O201" s="308"/>
      <c r="P201" s="277"/>
      <c r="Q201" s="277"/>
      <c r="R201" s="277"/>
      <c r="S201" s="277"/>
      <c r="T201" s="277"/>
      <c r="U201" s="277"/>
      <c r="V201" s="277"/>
      <c r="W201" s="277"/>
    </row>
    <row r="202" spans="1:23" s="278" customFormat="1" ht="22.5" customHeight="1" x14ac:dyDescent="0.2">
      <c r="A202" s="294"/>
      <c r="B202" s="308"/>
      <c r="C202" s="308"/>
      <c r="D202" s="302"/>
      <c r="E202" s="179"/>
      <c r="F202" s="204"/>
      <c r="G202" s="205"/>
      <c r="H202" s="302"/>
      <c r="I202" s="308"/>
      <c r="J202" s="308"/>
      <c r="K202" s="302"/>
      <c r="L202" s="308"/>
      <c r="M202" s="308"/>
      <c r="N202" s="308"/>
      <c r="O202" s="308"/>
      <c r="P202" s="277"/>
      <c r="Q202" s="277"/>
      <c r="R202" s="277"/>
      <c r="S202" s="277"/>
      <c r="T202" s="277"/>
      <c r="U202" s="277"/>
      <c r="V202" s="277"/>
      <c r="W202" s="277"/>
    </row>
    <row r="203" spans="1:23" s="278" customFormat="1" ht="22.5" customHeight="1" x14ac:dyDescent="0.2">
      <c r="A203" s="294"/>
      <c r="B203" s="308"/>
      <c r="C203" s="308"/>
      <c r="D203" s="302"/>
      <c r="E203" s="180"/>
      <c r="F203" s="202"/>
      <c r="G203" s="203"/>
      <c r="H203" s="302"/>
      <c r="I203" s="308"/>
      <c r="J203" s="308"/>
      <c r="K203" s="302"/>
      <c r="L203" s="308"/>
      <c r="M203" s="308"/>
      <c r="N203" s="308"/>
      <c r="O203" s="308"/>
      <c r="P203" s="277"/>
      <c r="Q203" s="277"/>
      <c r="R203" s="277"/>
      <c r="S203" s="277"/>
      <c r="T203" s="277"/>
      <c r="U203" s="277"/>
      <c r="V203" s="277"/>
      <c r="W203" s="277"/>
    </row>
    <row r="204" spans="1:23" s="278" customFormat="1" ht="22.5" customHeight="1" x14ac:dyDescent="0.2">
      <c r="A204" s="294"/>
      <c r="B204" s="308"/>
      <c r="C204" s="308"/>
      <c r="D204" s="302"/>
      <c r="E204" s="179"/>
      <c r="F204" s="204"/>
      <c r="G204" s="205"/>
      <c r="H204" s="302"/>
      <c r="I204" s="308"/>
      <c r="J204" s="308"/>
      <c r="K204" s="302"/>
      <c r="L204" s="308"/>
      <c r="M204" s="308"/>
      <c r="N204" s="308"/>
      <c r="O204" s="308"/>
      <c r="P204" s="277"/>
      <c r="Q204" s="277"/>
      <c r="R204" s="277"/>
      <c r="S204" s="277"/>
      <c r="T204" s="277"/>
      <c r="U204" s="277"/>
      <c r="V204" s="277"/>
      <c r="W204" s="277"/>
    </row>
    <row r="205" spans="1:23" s="278" customFormat="1" ht="22.5" customHeight="1" x14ac:dyDescent="0.2">
      <c r="A205" s="294"/>
      <c r="B205" s="308"/>
      <c r="C205" s="308"/>
      <c r="D205" s="302"/>
      <c r="E205" s="180"/>
      <c r="F205" s="202"/>
      <c r="G205" s="203"/>
      <c r="H205" s="302"/>
      <c r="I205" s="308"/>
      <c r="J205" s="308"/>
      <c r="K205" s="302"/>
      <c r="L205" s="308"/>
      <c r="M205" s="308"/>
      <c r="N205" s="308"/>
      <c r="O205" s="308"/>
      <c r="P205" s="277"/>
      <c r="Q205" s="277"/>
      <c r="R205" s="277"/>
      <c r="S205" s="277"/>
      <c r="T205" s="277"/>
      <c r="U205" s="277"/>
      <c r="V205" s="277"/>
      <c r="W205" s="277"/>
    </row>
    <row r="206" spans="1:23" s="278" customFormat="1" ht="22.5" customHeight="1" x14ac:dyDescent="0.2">
      <c r="A206" s="294"/>
      <c r="B206" s="308"/>
      <c r="C206" s="308"/>
      <c r="D206" s="302"/>
      <c r="E206" s="179"/>
      <c r="F206" s="204"/>
      <c r="G206" s="205"/>
      <c r="H206" s="302"/>
      <c r="I206" s="308"/>
      <c r="J206" s="308"/>
      <c r="K206" s="302"/>
      <c r="L206" s="308"/>
      <c r="M206" s="308"/>
      <c r="N206" s="308"/>
      <c r="O206" s="308"/>
      <c r="P206" s="277"/>
      <c r="Q206" s="277"/>
      <c r="R206" s="277"/>
      <c r="S206" s="277"/>
      <c r="T206" s="277"/>
      <c r="U206" s="277"/>
      <c r="V206" s="277"/>
      <c r="W206" s="277"/>
    </row>
    <row r="207" spans="1:23" s="278" customFormat="1" ht="22.5" customHeight="1" x14ac:dyDescent="0.2">
      <c r="A207" s="294"/>
      <c r="B207" s="308"/>
      <c r="C207" s="308"/>
      <c r="D207" s="302"/>
      <c r="E207" s="180"/>
      <c r="F207" s="202"/>
      <c r="G207" s="203"/>
      <c r="H207" s="302"/>
      <c r="I207" s="308"/>
      <c r="J207" s="308"/>
      <c r="K207" s="302"/>
      <c r="L207" s="308"/>
      <c r="M207" s="308"/>
      <c r="N207" s="308"/>
      <c r="O207" s="308"/>
      <c r="P207" s="277"/>
      <c r="Q207" s="277"/>
      <c r="R207" s="277"/>
      <c r="S207" s="277"/>
      <c r="T207" s="277"/>
      <c r="U207" s="277"/>
      <c r="V207" s="277"/>
      <c r="W207" s="277"/>
    </row>
    <row r="208" spans="1:23" s="278" customFormat="1" ht="22.5" customHeight="1" x14ac:dyDescent="0.2">
      <c r="A208" s="294"/>
      <c r="B208" s="308"/>
      <c r="C208" s="308"/>
      <c r="D208" s="302"/>
      <c r="E208" s="179"/>
      <c r="F208" s="204"/>
      <c r="G208" s="205"/>
      <c r="H208" s="302"/>
      <c r="I208" s="308"/>
      <c r="J208" s="308"/>
      <c r="K208" s="302"/>
      <c r="L208" s="308"/>
      <c r="M208" s="308"/>
      <c r="N208" s="308"/>
      <c r="O208" s="308"/>
      <c r="P208" s="277"/>
      <c r="Q208" s="277"/>
      <c r="R208" s="277"/>
      <c r="S208" s="277"/>
      <c r="T208" s="277"/>
      <c r="U208" s="277"/>
      <c r="V208" s="277"/>
      <c r="W208" s="277"/>
    </row>
    <row r="209" spans="1:23" s="278" customFormat="1" ht="22.5" customHeight="1" x14ac:dyDescent="0.2">
      <c r="A209" s="294"/>
      <c r="B209" s="308"/>
      <c r="C209" s="308"/>
      <c r="D209" s="302"/>
      <c r="E209" s="180"/>
      <c r="F209" s="202"/>
      <c r="G209" s="203"/>
      <c r="H209" s="302"/>
      <c r="I209" s="308"/>
      <c r="J209" s="308"/>
      <c r="K209" s="302"/>
      <c r="L209" s="308"/>
      <c r="M209" s="308"/>
      <c r="N209" s="308"/>
      <c r="O209" s="308"/>
      <c r="P209" s="277"/>
      <c r="Q209" s="277"/>
      <c r="R209" s="277"/>
      <c r="S209" s="277"/>
      <c r="T209" s="277"/>
      <c r="U209" s="277"/>
      <c r="V209" s="277"/>
      <c r="W209" s="277"/>
    </row>
    <row r="210" spans="1:23" s="278" customFormat="1" ht="22.5" customHeight="1" x14ac:dyDescent="0.2">
      <c r="A210" s="294"/>
      <c r="B210" s="308"/>
      <c r="C210" s="308"/>
      <c r="D210" s="302"/>
      <c r="E210" s="179"/>
      <c r="F210" s="204"/>
      <c r="G210" s="205"/>
      <c r="H210" s="302"/>
      <c r="I210" s="308"/>
      <c r="J210" s="308"/>
      <c r="K210" s="302"/>
      <c r="L210" s="308"/>
      <c r="M210" s="308"/>
      <c r="N210" s="308"/>
      <c r="O210" s="308"/>
      <c r="P210" s="277"/>
      <c r="Q210" s="277"/>
      <c r="R210" s="277"/>
      <c r="S210" s="277"/>
      <c r="T210" s="277"/>
      <c r="U210" s="277"/>
      <c r="V210" s="277"/>
      <c r="W210" s="277"/>
    </row>
    <row r="211" spans="1:23" s="278" customFormat="1" ht="22.5" customHeight="1" x14ac:dyDescent="0.2">
      <c r="A211" s="294"/>
      <c r="B211" s="308"/>
      <c r="C211" s="308"/>
      <c r="D211" s="302"/>
      <c r="E211" s="180"/>
      <c r="F211" s="202"/>
      <c r="G211" s="203"/>
      <c r="H211" s="302"/>
      <c r="I211" s="308"/>
      <c r="J211" s="308"/>
      <c r="K211" s="302"/>
      <c r="L211" s="308"/>
      <c r="M211" s="308"/>
      <c r="N211" s="308"/>
      <c r="O211" s="308"/>
      <c r="P211" s="277"/>
      <c r="Q211" s="277"/>
      <c r="R211" s="277"/>
      <c r="S211" s="277"/>
      <c r="T211" s="277"/>
      <c r="U211" s="277"/>
      <c r="V211" s="277"/>
      <c r="W211" s="277"/>
    </row>
    <row r="212" spans="1:23" s="278" customFormat="1" ht="22.5" customHeight="1" x14ac:dyDescent="0.2">
      <c r="A212" s="294"/>
      <c r="B212" s="308"/>
      <c r="C212" s="308"/>
      <c r="D212" s="302"/>
      <c r="E212" s="179"/>
      <c r="F212" s="204"/>
      <c r="G212" s="205"/>
      <c r="H212" s="302"/>
      <c r="I212" s="308"/>
      <c r="J212" s="308"/>
      <c r="K212" s="302"/>
      <c r="L212" s="308"/>
      <c r="M212" s="308"/>
      <c r="N212" s="308"/>
      <c r="O212" s="308"/>
      <c r="P212" s="277"/>
      <c r="Q212" s="277"/>
      <c r="R212" s="277"/>
      <c r="S212" s="277"/>
      <c r="T212" s="277"/>
      <c r="U212" s="277"/>
      <c r="V212" s="277"/>
      <c r="W212" s="277"/>
    </row>
    <row r="213" spans="1:23" s="278" customFormat="1" ht="22.5" customHeight="1" x14ac:dyDescent="0.2">
      <c r="A213" s="294"/>
      <c r="B213" s="308"/>
      <c r="C213" s="308"/>
      <c r="D213" s="302"/>
      <c r="E213" s="180"/>
      <c r="F213" s="202"/>
      <c r="G213" s="203"/>
      <c r="H213" s="302"/>
      <c r="I213" s="308"/>
      <c r="J213" s="308"/>
      <c r="K213" s="302"/>
      <c r="L213" s="308"/>
      <c r="M213" s="308"/>
      <c r="N213" s="308"/>
      <c r="O213" s="308"/>
      <c r="P213" s="277"/>
      <c r="Q213" s="277"/>
      <c r="R213" s="277"/>
      <c r="S213" s="277"/>
      <c r="T213" s="277"/>
      <c r="U213" s="277"/>
      <c r="V213" s="277"/>
      <c r="W213" s="277"/>
    </row>
    <row r="214" spans="1:23" s="278" customFormat="1" ht="22.5" customHeight="1" x14ac:dyDescent="0.2">
      <c r="A214" s="294"/>
      <c r="B214" s="308"/>
      <c r="C214" s="308"/>
      <c r="D214" s="302"/>
      <c r="E214" s="179"/>
      <c r="F214" s="204"/>
      <c r="G214" s="205"/>
      <c r="H214" s="302"/>
      <c r="I214" s="308"/>
      <c r="J214" s="308"/>
      <c r="K214" s="302"/>
      <c r="L214" s="308"/>
      <c r="M214" s="308"/>
      <c r="N214" s="308"/>
      <c r="O214" s="308"/>
      <c r="P214" s="277"/>
      <c r="Q214" s="277"/>
      <c r="R214" s="277"/>
      <c r="S214" s="277"/>
      <c r="T214" s="277"/>
      <c r="U214" s="277"/>
      <c r="V214" s="277"/>
      <c r="W214" s="277"/>
    </row>
    <row r="215" spans="1:23" s="278" customFormat="1" ht="22.5" customHeight="1" x14ac:dyDescent="0.2">
      <c r="A215" s="294"/>
      <c r="B215" s="308"/>
      <c r="C215" s="308"/>
      <c r="D215" s="302"/>
      <c r="E215" s="180"/>
      <c r="F215" s="202"/>
      <c r="G215" s="203"/>
      <c r="H215" s="302"/>
      <c r="I215" s="308"/>
      <c r="J215" s="308"/>
      <c r="K215" s="302"/>
      <c r="L215" s="308"/>
      <c r="M215" s="308"/>
      <c r="N215" s="308"/>
      <c r="O215" s="308"/>
      <c r="P215" s="277"/>
      <c r="Q215" s="277"/>
      <c r="R215" s="277"/>
      <c r="S215" s="277"/>
      <c r="T215" s="277"/>
      <c r="U215" s="277"/>
      <c r="V215" s="277"/>
      <c r="W215" s="277"/>
    </row>
    <row r="216" spans="1:23" s="278" customFormat="1" ht="22.5" customHeight="1" x14ac:dyDescent="0.2">
      <c r="A216" s="294"/>
      <c r="B216" s="308"/>
      <c r="C216" s="308"/>
      <c r="D216" s="302"/>
      <c r="E216" s="179"/>
      <c r="F216" s="204"/>
      <c r="G216" s="205"/>
      <c r="H216" s="302"/>
      <c r="I216" s="308"/>
      <c r="J216" s="308"/>
      <c r="K216" s="302"/>
      <c r="L216" s="308"/>
      <c r="M216" s="308"/>
      <c r="N216" s="308"/>
      <c r="O216" s="308"/>
      <c r="P216" s="277"/>
      <c r="Q216" s="277"/>
      <c r="R216" s="277"/>
      <c r="S216" s="277"/>
      <c r="T216" s="277"/>
      <c r="U216" s="277"/>
      <c r="V216" s="277"/>
      <c r="W216" s="277"/>
    </row>
    <row r="217" spans="1:23" s="278" customFormat="1" ht="22.5" customHeight="1" x14ac:dyDescent="0.2">
      <c r="A217" s="294"/>
      <c r="B217" s="308"/>
      <c r="C217" s="308"/>
      <c r="D217" s="302"/>
      <c r="E217" s="180"/>
      <c r="F217" s="202"/>
      <c r="G217" s="203"/>
      <c r="H217" s="302"/>
      <c r="I217" s="308"/>
      <c r="J217" s="308"/>
      <c r="K217" s="302"/>
      <c r="L217" s="308"/>
      <c r="M217" s="308"/>
      <c r="N217" s="308"/>
      <c r="O217" s="308"/>
      <c r="P217" s="277"/>
      <c r="Q217" s="277"/>
      <c r="R217" s="277"/>
      <c r="S217" s="277"/>
      <c r="T217" s="277"/>
      <c r="U217" s="277"/>
      <c r="V217" s="277"/>
      <c r="W217" s="277"/>
    </row>
    <row r="218" spans="1:23" s="278" customFormat="1" ht="22.5" customHeight="1" x14ac:dyDescent="0.2">
      <c r="A218" s="294"/>
      <c r="B218" s="308"/>
      <c r="C218" s="308"/>
      <c r="D218" s="302"/>
      <c r="E218" s="179"/>
      <c r="F218" s="204"/>
      <c r="G218" s="205"/>
      <c r="H218" s="302"/>
      <c r="I218" s="308"/>
      <c r="J218" s="308"/>
      <c r="K218" s="302"/>
      <c r="L218" s="308"/>
      <c r="M218" s="308"/>
      <c r="N218" s="308"/>
      <c r="O218" s="308"/>
      <c r="P218" s="277"/>
      <c r="Q218" s="277"/>
      <c r="R218" s="277"/>
      <c r="S218" s="277"/>
      <c r="T218" s="277"/>
      <c r="U218" s="277"/>
      <c r="V218" s="277"/>
      <c r="W218" s="277"/>
    </row>
    <row r="219" spans="1:23" s="278" customFormat="1" ht="22.5" customHeight="1" x14ac:dyDescent="0.2">
      <c r="A219" s="294"/>
      <c r="B219" s="308"/>
      <c r="C219" s="308"/>
      <c r="D219" s="302"/>
      <c r="E219" s="180"/>
      <c r="F219" s="202"/>
      <c r="G219" s="203"/>
      <c r="H219" s="302"/>
      <c r="I219" s="308"/>
      <c r="J219" s="308"/>
      <c r="K219" s="302"/>
      <c r="L219" s="308"/>
      <c r="M219" s="308"/>
      <c r="N219" s="308"/>
      <c r="O219" s="308"/>
      <c r="P219" s="277"/>
      <c r="Q219" s="277"/>
      <c r="R219" s="277"/>
      <c r="S219" s="277"/>
      <c r="T219" s="277"/>
      <c r="U219" s="277"/>
      <c r="V219" s="277"/>
      <c r="W219" s="277"/>
    </row>
    <row r="220" spans="1:23" s="278" customFormat="1" ht="22.5" customHeight="1" x14ac:dyDescent="0.2">
      <c r="A220" s="294"/>
      <c r="B220" s="308"/>
      <c r="C220" s="308"/>
      <c r="D220" s="302"/>
      <c r="E220" s="179"/>
      <c r="F220" s="204"/>
      <c r="G220" s="205"/>
      <c r="H220" s="302"/>
      <c r="I220" s="308"/>
      <c r="J220" s="308"/>
      <c r="K220" s="302"/>
      <c r="L220" s="308"/>
      <c r="M220" s="308"/>
      <c r="N220" s="308"/>
      <c r="O220" s="308"/>
      <c r="P220" s="277"/>
      <c r="Q220" s="277"/>
      <c r="R220" s="277"/>
      <c r="S220" s="277"/>
      <c r="T220" s="277"/>
      <c r="U220" s="277"/>
      <c r="V220" s="277"/>
      <c r="W220" s="277"/>
    </row>
    <row r="221" spans="1:23" s="278" customFormat="1" ht="22.5" customHeight="1" x14ac:dyDescent="0.2">
      <c r="A221" s="294"/>
      <c r="B221" s="308"/>
      <c r="C221" s="308"/>
      <c r="D221" s="302"/>
      <c r="E221" s="180"/>
      <c r="F221" s="202"/>
      <c r="G221" s="203"/>
      <c r="H221" s="302"/>
      <c r="I221" s="308"/>
      <c r="J221" s="308"/>
      <c r="K221" s="302"/>
      <c r="L221" s="308"/>
      <c r="M221" s="308"/>
      <c r="N221" s="308"/>
      <c r="O221" s="308"/>
      <c r="P221" s="277"/>
      <c r="Q221" s="277"/>
      <c r="R221" s="277"/>
      <c r="S221" s="277"/>
      <c r="T221" s="277"/>
      <c r="U221" s="277"/>
      <c r="V221" s="277"/>
      <c r="W221" s="277"/>
    </row>
    <row r="222" spans="1:23" s="278" customFormat="1" ht="22.5" customHeight="1" x14ac:dyDescent="0.2">
      <c r="A222" s="294"/>
      <c r="B222" s="308"/>
      <c r="C222" s="308"/>
      <c r="D222" s="302"/>
      <c r="E222" s="179"/>
      <c r="F222" s="204"/>
      <c r="G222" s="205"/>
      <c r="H222" s="302"/>
      <c r="I222" s="308"/>
      <c r="J222" s="308"/>
      <c r="K222" s="302"/>
      <c r="L222" s="308"/>
      <c r="M222" s="308"/>
      <c r="N222" s="308"/>
      <c r="O222" s="308"/>
      <c r="P222" s="277"/>
      <c r="Q222" s="277"/>
      <c r="R222" s="277"/>
      <c r="S222" s="277"/>
      <c r="T222" s="277"/>
      <c r="U222" s="277"/>
      <c r="V222" s="277"/>
      <c r="W222" s="277"/>
    </row>
    <row r="223" spans="1:23" s="278" customFormat="1" ht="22.5" customHeight="1" x14ac:dyDescent="0.2">
      <c r="A223" s="294"/>
      <c r="B223" s="308"/>
      <c r="C223" s="308"/>
      <c r="D223" s="244"/>
      <c r="E223" s="48"/>
      <c r="F223" s="47"/>
      <c r="G223" s="49"/>
      <c r="H223" s="244"/>
      <c r="I223" s="308"/>
      <c r="J223" s="308"/>
      <c r="K223" s="244"/>
      <c r="L223" s="308"/>
      <c r="M223" s="308"/>
      <c r="N223" s="308"/>
      <c r="O223" s="308"/>
      <c r="P223" s="277"/>
      <c r="Q223" s="277"/>
      <c r="R223" s="277"/>
      <c r="S223" s="277"/>
      <c r="T223" s="277"/>
      <c r="U223" s="277"/>
      <c r="V223" s="277"/>
      <c r="W223" s="277"/>
    </row>
    <row r="224" spans="1:23" s="278" customFormat="1" ht="22.5" customHeight="1" x14ac:dyDescent="0.2">
      <c r="A224" s="294"/>
      <c r="B224" s="308"/>
      <c r="C224" s="308"/>
      <c r="D224" s="244"/>
      <c r="E224" s="35"/>
      <c r="F224" s="32"/>
      <c r="G224" s="36"/>
      <c r="H224" s="244"/>
      <c r="I224" s="308"/>
      <c r="J224" s="308"/>
      <c r="K224" s="244"/>
      <c r="L224" s="308"/>
      <c r="M224" s="308"/>
      <c r="N224" s="308"/>
      <c r="O224" s="308"/>
      <c r="P224" s="277"/>
      <c r="Q224" s="277"/>
      <c r="R224" s="277"/>
      <c r="S224" s="277"/>
      <c r="T224" s="277"/>
      <c r="U224" s="277"/>
      <c r="V224" s="277"/>
      <c r="W224" s="277"/>
    </row>
    <row r="225" spans="1:23" s="278" customFormat="1" ht="22.5" customHeight="1" x14ac:dyDescent="0.2">
      <c r="A225" s="294"/>
      <c r="B225" s="308"/>
      <c r="C225" s="308"/>
      <c r="D225" s="244"/>
      <c r="E225" s="48"/>
      <c r="F225" s="47"/>
      <c r="G225" s="49"/>
      <c r="H225" s="244"/>
      <c r="I225" s="308"/>
      <c r="J225" s="308"/>
      <c r="K225" s="244"/>
      <c r="L225" s="308"/>
      <c r="M225" s="308"/>
      <c r="N225" s="308"/>
      <c r="O225" s="308"/>
      <c r="P225" s="277"/>
      <c r="Q225" s="277"/>
      <c r="R225" s="277"/>
      <c r="S225" s="277"/>
      <c r="T225" s="277"/>
      <c r="U225" s="277"/>
      <c r="V225" s="277"/>
      <c r="W225" s="277"/>
    </row>
    <row r="226" spans="1:23" s="278" customFormat="1" ht="22.5" customHeight="1" x14ac:dyDescent="0.2">
      <c r="A226" s="294"/>
      <c r="B226" s="308"/>
      <c r="C226" s="308"/>
      <c r="D226" s="244"/>
      <c r="E226" s="35"/>
      <c r="F226" s="32"/>
      <c r="G226" s="36"/>
      <c r="H226" s="244"/>
      <c r="I226" s="308"/>
      <c r="J226" s="308"/>
      <c r="K226" s="244"/>
      <c r="L226" s="308"/>
      <c r="M226" s="308"/>
      <c r="N226" s="308"/>
      <c r="O226" s="308"/>
      <c r="P226" s="277"/>
      <c r="Q226" s="277"/>
      <c r="R226" s="277"/>
      <c r="S226" s="277"/>
      <c r="T226" s="277"/>
      <c r="U226" s="277"/>
      <c r="V226" s="277"/>
      <c r="W226" s="277"/>
    </row>
    <row r="227" spans="1:23" s="278" customFormat="1" ht="22.5" customHeight="1" x14ac:dyDescent="0.2">
      <c r="A227" s="294"/>
      <c r="B227" s="308"/>
      <c r="C227" s="308"/>
      <c r="D227" s="244"/>
      <c r="E227" s="48"/>
      <c r="F227" s="47"/>
      <c r="G227" s="49"/>
      <c r="H227" s="244"/>
      <c r="I227" s="308"/>
      <c r="J227" s="308"/>
      <c r="K227" s="244"/>
      <c r="L227" s="308"/>
      <c r="M227" s="308"/>
      <c r="N227" s="308"/>
      <c r="O227" s="308"/>
      <c r="P227" s="277"/>
      <c r="Q227" s="277"/>
      <c r="R227" s="277"/>
      <c r="S227" s="277"/>
      <c r="T227" s="277"/>
      <c r="U227" s="277"/>
      <c r="V227" s="277"/>
      <c r="W227" s="277"/>
    </row>
    <row r="228" spans="1:23" s="278" customFormat="1" ht="22.5" customHeight="1" x14ac:dyDescent="0.2">
      <c r="A228" s="294"/>
      <c r="B228" s="308"/>
      <c r="C228" s="308"/>
      <c r="D228" s="244"/>
      <c r="E228" s="35"/>
      <c r="F228" s="32"/>
      <c r="G228" s="36"/>
      <c r="H228" s="244"/>
      <c r="I228" s="308"/>
      <c r="J228" s="308"/>
      <c r="K228" s="244"/>
      <c r="L228" s="308"/>
      <c r="M228" s="308"/>
      <c r="N228" s="308"/>
      <c r="O228" s="308"/>
      <c r="P228" s="277"/>
      <c r="Q228" s="277"/>
      <c r="R228" s="277"/>
      <c r="S228" s="277"/>
      <c r="T228" s="277"/>
      <c r="U228" s="277"/>
      <c r="V228" s="277"/>
      <c r="W228" s="277"/>
    </row>
    <row r="229" spans="1:23" s="278" customFormat="1" ht="22.5" customHeight="1" x14ac:dyDescent="0.2">
      <c r="A229" s="294"/>
      <c r="B229" s="308"/>
      <c r="C229" s="308"/>
      <c r="D229" s="244"/>
      <c r="E229" s="48"/>
      <c r="F229" s="47"/>
      <c r="G229" s="49"/>
      <c r="H229" s="244"/>
      <c r="I229" s="308"/>
      <c r="J229" s="308"/>
      <c r="K229" s="244"/>
      <c r="L229" s="308"/>
      <c r="M229" s="308"/>
      <c r="N229" s="308"/>
      <c r="O229" s="308"/>
      <c r="P229" s="277"/>
      <c r="Q229" s="277"/>
      <c r="R229" s="277"/>
      <c r="S229" s="277"/>
      <c r="T229" s="277"/>
      <c r="U229" s="277"/>
      <c r="V229" s="277"/>
      <c r="W229" s="277"/>
    </row>
    <row r="230" spans="1:23" s="278" customFormat="1" ht="22.5" customHeight="1" x14ac:dyDescent="0.2">
      <c r="A230" s="294"/>
      <c r="B230" s="308"/>
      <c r="C230" s="308"/>
      <c r="D230" s="244"/>
      <c r="E230" s="35"/>
      <c r="F230" s="32"/>
      <c r="G230" s="36"/>
      <c r="H230" s="244"/>
      <c r="I230" s="308"/>
      <c r="J230" s="308"/>
      <c r="K230" s="244"/>
      <c r="L230" s="308"/>
      <c r="M230" s="308"/>
      <c r="N230" s="308"/>
      <c r="O230" s="308"/>
      <c r="P230" s="277"/>
      <c r="Q230" s="277"/>
      <c r="R230" s="277"/>
      <c r="S230" s="277"/>
      <c r="T230" s="277"/>
      <c r="U230" s="277"/>
      <c r="V230" s="277"/>
      <c r="W230" s="277"/>
    </row>
    <row r="231" spans="1:23" s="278" customFormat="1" ht="22.5" customHeight="1" x14ac:dyDescent="0.2">
      <c r="A231" s="294"/>
      <c r="B231" s="308"/>
      <c r="C231" s="308"/>
      <c r="D231" s="244"/>
      <c r="E231" s="48"/>
      <c r="F231" s="47"/>
      <c r="G231" s="49"/>
      <c r="H231" s="244"/>
      <c r="I231" s="308"/>
      <c r="J231" s="308"/>
      <c r="K231" s="244"/>
      <c r="L231" s="308"/>
      <c r="M231" s="308"/>
      <c r="N231" s="308"/>
      <c r="O231" s="308"/>
      <c r="P231" s="277"/>
      <c r="Q231" s="277"/>
      <c r="R231" s="277"/>
      <c r="S231" s="277"/>
      <c r="T231" s="277"/>
      <c r="U231" s="277"/>
      <c r="V231" s="277"/>
      <c r="W231" s="277"/>
    </row>
    <row r="232" spans="1:23" s="278" customFormat="1" ht="22.5" customHeight="1" x14ac:dyDescent="0.2">
      <c r="A232" s="294"/>
      <c r="B232" s="308"/>
      <c r="C232" s="308"/>
      <c r="D232" s="244"/>
      <c r="E232" s="35"/>
      <c r="F232" s="32"/>
      <c r="G232" s="36"/>
      <c r="H232" s="244"/>
      <c r="I232" s="308"/>
      <c r="J232" s="308"/>
      <c r="K232" s="244"/>
      <c r="L232" s="308"/>
      <c r="M232" s="308"/>
      <c r="N232" s="308"/>
      <c r="O232" s="308"/>
      <c r="P232" s="277"/>
      <c r="Q232" s="277"/>
      <c r="R232" s="277"/>
      <c r="S232" s="277"/>
      <c r="T232" s="277"/>
      <c r="U232" s="277"/>
      <c r="V232" s="277"/>
      <c r="W232" s="277"/>
    </row>
    <row r="233" spans="1:23" s="278" customFormat="1" ht="22.5" customHeight="1" x14ac:dyDescent="0.2">
      <c r="A233" s="294"/>
      <c r="B233" s="308"/>
      <c r="C233" s="308"/>
      <c r="D233" s="244"/>
      <c r="E233" s="48"/>
      <c r="F233" s="47"/>
      <c r="G233" s="49"/>
      <c r="H233" s="244"/>
      <c r="I233" s="308"/>
      <c r="J233" s="308"/>
      <c r="K233" s="244"/>
      <c r="L233" s="308"/>
      <c r="M233" s="308"/>
      <c r="N233" s="308"/>
      <c r="O233" s="308"/>
      <c r="P233" s="277"/>
      <c r="Q233" s="277"/>
      <c r="R233" s="277"/>
      <c r="S233" s="277"/>
      <c r="T233" s="277"/>
      <c r="U233" s="277"/>
      <c r="V233" s="277"/>
      <c r="W233" s="277"/>
    </row>
    <row r="234" spans="1:23" s="278" customFormat="1" ht="22.5" customHeight="1" x14ac:dyDescent="0.2">
      <c r="A234" s="294"/>
      <c r="B234" s="308"/>
      <c r="C234" s="308"/>
      <c r="D234" s="244"/>
      <c r="E234" s="35"/>
      <c r="F234" s="32"/>
      <c r="G234" s="36"/>
      <c r="H234" s="244"/>
      <c r="I234" s="308"/>
      <c r="J234" s="308"/>
      <c r="K234" s="244"/>
      <c r="L234" s="308"/>
      <c r="M234" s="308"/>
      <c r="N234" s="308"/>
      <c r="O234" s="308"/>
      <c r="P234" s="277"/>
      <c r="Q234" s="277"/>
      <c r="R234" s="277"/>
      <c r="S234" s="277"/>
      <c r="T234" s="277"/>
      <c r="U234" s="277"/>
      <c r="V234" s="277"/>
      <c r="W234" s="277"/>
    </row>
    <row r="235" spans="1:23" s="278" customFormat="1" ht="22.5" customHeight="1" x14ac:dyDescent="0.2">
      <c r="A235" s="294"/>
      <c r="B235" s="308"/>
      <c r="C235" s="308"/>
      <c r="D235" s="244"/>
      <c r="E235" s="48"/>
      <c r="F235" s="47"/>
      <c r="G235" s="49"/>
      <c r="H235" s="244"/>
      <c r="I235" s="308"/>
      <c r="J235" s="308"/>
      <c r="K235" s="244"/>
      <c r="L235" s="308"/>
      <c r="M235" s="308"/>
      <c r="N235" s="308"/>
      <c r="O235" s="308"/>
      <c r="P235" s="277"/>
      <c r="Q235" s="277"/>
      <c r="R235" s="277"/>
      <c r="S235" s="277"/>
      <c r="T235" s="277"/>
      <c r="U235" s="277"/>
      <c r="V235" s="277"/>
      <c r="W235" s="277"/>
    </row>
    <row r="236" spans="1:23" s="278" customFormat="1" ht="22.5" customHeight="1" x14ac:dyDescent="0.2">
      <c r="A236" s="294"/>
      <c r="B236" s="308"/>
      <c r="C236" s="308"/>
      <c r="D236" s="244"/>
      <c r="E236" s="35"/>
      <c r="F236" s="32"/>
      <c r="G236" s="36"/>
      <c r="H236" s="244"/>
      <c r="I236" s="308"/>
      <c r="J236" s="308"/>
      <c r="K236" s="244"/>
      <c r="L236" s="308"/>
      <c r="M236" s="308"/>
      <c r="N236" s="308"/>
      <c r="O236" s="308"/>
      <c r="P236" s="277"/>
      <c r="Q236" s="277"/>
      <c r="R236" s="277"/>
      <c r="S236" s="277"/>
      <c r="T236" s="277"/>
      <c r="U236" s="277"/>
      <c r="V236" s="277"/>
      <c r="W236" s="277"/>
    </row>
    <row r="237" spans="1:23" s="278" customFormat="1" ht="22.5" customHeight="1" x14ac:dyDescent="0.2">
      <c r="A237" s="294"/>
      <c r="B237" s="308"/>
      <c r="C237" s="308"/>
      <c r="D237" s="244"/>
      <c r="E237" s="48"/>
      <c r="F237" s="47"/>
      <c r="G237" s="49"/>
      <c r="H237" s="244"/>
      <c r="I237" s="308"/>
      <c r="J237" s="308"/>
      <c r="K237" s="244"/>
      <c r="L237" s="308"/>
      <c r="M237" s="308"/>
      <c r="N237" s="308"/>
      <c r="O237" s="308"/>
      <c r="P237" s="277"/>
      <c r="Q237" s="277"/>
      <c r="R237" s="277"/>
      <c r="S237" s="277"/>
      <c r="T237" s="277"/>
      <c r="U237" s="277"/>
      <c r="V237" s="277"/>
      <c r="W237" s="277"/>
    </row>
    <row r="238" spans="1:23" s="278" customFormat="1" ht="22.5" customHeight="1" x14ac:dyDescent="0.2">
      <c r="A238" s="294"/>
      <c r="B238" s="308"/>
      <c r="C238" s="308"/>
      <c r="D238" s="244"/>
      <c r="E238" s="35"/>
      <c r="F238" s="32"/>
      <c r="G238" s="36"/>
      <c r="H238" s="244"/>
      <c r="I238" s="308"/>
      <c r="J238" s="308"/>
      <c r="K238" s="244"/>
      <c r="L238" s="308"/>
      <c r="M238" s="308"/>
      <c r="N238" s="308"/>
      <c r="O238" s="308"/>
      <c r="P238" s="277"/>
      <c r="Q238" s="277"/>
      <c r="R238" s="277"/>
      <c r="S238" s="277"/>
      <c r="T238" s="277"/>
      <c r="U238" s="277"/>
      <c r="V238" s="277"/>
      <c r="W238" s="277"/>
    </row>
    <row r="239" spans="1:23" s="278" customFormat="1" ht="22.5" customHeight="1" x14ac:dyDescent="0.2">
      <c r="A239" s="294"/>
      <c r="B239" s="308"/>
      <c r="C239" s="308"/>
      <c r="D239" s="244"/>
      <c r="E239" s="48"/>
      <c r="F239" s="47"/>
      <c r="G239" s="49"/>
      <c r="H239" s="244"/>
      <c r="I239" s="308"/>
      <c r="J239" s="308"/>
      <c r="K239" s="244"/>
      <c r="L239" s="308"/>
      <c r="M239" s="308"/>
      <c r="N239" s="308"/>
      <c r="O239" s="308"/>
      <c r="P239" s="277"/>
      <c r="Q239" s="277"/>
      <c r="R239" s="277"/>
      <c r="S239" s="277"/>
      <c r="T239" s="277"/>
      <c r="U239" s="277"/>
      <c r="V239" s="277"/>
      <c r="W239" s="277"/>
    </row>
    <row r="240" spans="1:23" s="278" customFormat="1" ht="22.5" customHeight="1" x14ac:dyDescent="0.2">
      <c r="A240" s="294"/>
      <c r="B240" s="308"/>
      <c r="C240" s="308"/>
      <c r="D240" s="244"/>
      <c r="E240" s="35"/>
      <c r="F240" s="32"/>
      <c r="G240" s="36"/>
      <c r="H240" s="244"/>
      <c r="I240" s="308"/>
      <c r="J240" s="308"/>
      <c r="K240" s="244"/>
      <c r="L240" s="308"/>
      <c r="M240" s="308"/>
      <c r="N240" s="308"/>
      <c r="O240" s="308"/>
      <c r="P240" s="277"/>
      <c r="Q240" s="277"/>
      <c r="R240" s="277"/>
      <c r="S240" s="277"/>
      <c r="T240" s="277"/>
      <c r="U240" s="277"/>
      <c r="V240" s="277"/>
      <c r="W240" s="277"/>
    </row>
    <row r="241" spans="1:23" s="278" customFormat="1" ht="22.5" customHeight="1" x14ac:dyDescent="0.2">
      <c r="A241" s="294"/>
      <c r="B241" s="308"/>
      <c r="C241" s="308"/>
      <c r="D241" s="244"/>
      <c r="E241" s="48"/>
      <c r="F241" s="47"/>
      <c r="G241" s="49"/>
      <c r="H241" s="244"/>
      <c r="I241" s="308"/>
      <c r="J241" s="308"/>
      <c r="K241" s="244"/>
      <c r="L241" s="308"/>
      <c r="M241" s="308"/>
      <c r="N241" s="308"/>
      <c r="O241" s="308"/>
      <c r="P241" s="277"/>
      <c r="Q241" s="277"/>
      <c r="R241" s="277"/>
      <c r="S241" s="277"/>
      <c r="T241" s="277"/>
      <c r="U241" s="277"/>
      <c r="V241" s="277"/>
      <c r="W241" s="277"/>
    </row>
    <row r="242" spans="1:23" s="278" customFormat="1" ht="22.5" customHeight="1" x14ac:dyDescent="0.2">
      <c r="A242" s="294"/>
      <c r="B242" s="308"/>
      <c r="C242" s="308"/>
      <c r="D242" s="244"/>
      <c r="E242" s="35"/>
      <c r="F242" s="32"/>
      <c r="G242" s="36"/>
      <c r="H242" s="244"/>
      <c r="I242" s="308"/>
      <c r="J242" s="308"/>
      <c r="K242" s="244"/>
      <c r="L242" s="308"/>
      <c r="M242" s="308"/>
      <c r="N242" s="308"/>
      <c r="O242" s="308"/>
      <c r="P242" s="277"/>
      <c r="Q242" s="277"/>
      <c r="R242" s="277"/>
      <c r="S242" s="277"/>
      <c r="T242" s="277"/>
      <c r="U242" s="277"/>
      <c r="V242" s="277"/>
      <c r="W242" s="277"/>
    </row>
    <row r="243" spans="1:23" s="278" customFormat="1" ht="22.5" customHeight="1" x14ac:dyDescent="0.2">
      <c r="A243" s="294"/>
      <c r="B243" s="308"/>
      <c r="C243" s="308"/>
      <c r="D243" s="244"/>
      <c r="E243" s="48"/>
      <c r="F243" s="47"/>
      <c r="G243" s="49"/>
      <c r="H243" s="244"/>
      <c r="I243" s="308"/>
      <c r="J243" s="308"/>
      <c r="K243" s="244"/>
      <c r="L243" s="308"/>
      <c r="M243" s="308"/>
      <c r="N243" s="308"/>
      <c r="O243" s="308"/>
      <c r="P243" s="277"/>
      <c r="Q243" s="277"/>
      <c r="R243" s="277"/>
      <c r="S243" s="277"/>
      <c r="T243" s="277"/>
      <c r="U243" s="277"/>
      <c r="V243" s="277"/>
      <c r="W243" s="277"/>
    </row>
    <row r="244" spans="1:23" s="278" customFormat="1" ht="22.5" customHeight="1" x14ac:dyDescent="0.2">
      <c r="A244" s="294"/>
      <c r="B244" s="308"/>
      <c r="C244" s="308"/>
      <c r="D244" s="244"/>
      <c r="E244" s="35"/>
      <c r="F244" s="32"/>
      <c r="G244" s="36"/>
      <c r="H244" s="244"/>
      <c r="I244" s="308"/>
      <c r="J244" s="308"/>
      <c r="K244" s="244"/>
      <c r="L244" s="308"/>
      <c r="M244" s="308"/>
      <c r="N244" s="308"/>
      <c r="O244" s="308"/>
      <c r="P244" s="277"/>
      <c r="Q244" s="277"/>
      <c r="R244" s="277"/>
      <c r="S244" s="277"/>
      <c r="T244" s="277"/>
      <c r="U244" s="277"/>
      <c r="V244" s="277"/>
      <c r="W244" s="277"/>
    </row>
    <row r="245" spans="1:23" s="278" customFormat="1" ht="22.5" customHeight="1" x14ac:dyDescent="0.2">
      <c r="A245" s="294"/>
      <c r="B245" s="308"/>
      <c r="C245" s="308"/>
      <c r="D245" s="244"/>
      <c r="E245" s="48"/>
      <c r="F245" s="47"/>
      <c r="G245" s="49"/>
      <c r="H245" s="244"/>
      <c r="I245" s="308"/>
      <c r="J245" s="308"/>
      <c r="K245" s="244"/>
      <c r="L245" s="308"/>
      <c r="M245" s="308"/>
      <c r="N245" s="308"/>
      <c r="O245" s="308"/>
      <c r="P245" s="277"/>
      <c r="Q245" s="277"/>
      <c r="R245" s="277"/>
      <c r="S245" s="277"/>
      <c r="T245" s="277"/>
      <c r="U245" s="277"/>
      <c r="V245" s="277"/>
      <c r="W245" s="277"/>
    </row>
    <row r="246" spans="1:23" s="278" customFormat="1" ht="22.5" customHeight="1" x14ac:dyDescent="0.2">
      <c r="A246" s="246"/>
      <c r="B246" s="246"/>
      <c r="C246" s="246"/>
      <c r="D246" s="244"/>
      <c r="E246" s="35"/>
      <c r="F246" s="32"/>
      <c r="G246" s="36"/>
      <c r="H246" s="244"/>
      <c r="I246" s="246"/>
      <c r="J246" s="246"/>
      <c r="K246" s="244"/>
      <c r="L246" s="246"/>
      <c r="M246" s="246"/>
      <c r="N246" s="246"/>
      <c r="O246" s="246"/>
    </row>
    <row r="247" spans="1:23" s="278" customFormat="1" ht="22.5" customHeight="1" x14ac:dyDescent="0.2">
      <c r="A247" s="246"/>
      <c r="B247" s="246"/>
      <c r="C247" s="246"/>
      <c r="D247" s="244"/>
      <c r="E247" s="48"/>
      <c r="F247" s="47"/>
      <c r="G247" s="49"/>
      <c r="H247" s="244"/>
      <c r="I247" s="246"/>
      <c r="J247" s="246"/>
      <c r="K247" s="244"/>
      <c r="L247" s="246"/>
      <c r="M247" s="246"/>
      <c r="N247" s="246"/>
      <c r="O247" s="246"/>
    </row>
    <row r="248" spans="1:23" s="278" customFormat="1" ht="22.5" customHeight="1" x14ac:dyDescent="0.2">
      <c r="A248" s="246"/>
      <c r="B248" s="246"/>
      <c r="C248" s="246"/>
      <c r="D248" s="244"/>
      <c r="E248" s="35"/>
      <c r="F248" s="32"/>
      <c r="G248" s="36"/>
      <c r="H248" s="244"/>
      <c r="I248" s="246"/>
      <c r="J248" s="246"/>
      <c r="K248" s="244"/>
      <c r="L248" s="246"/>
      <c r="M248" s="246"/>
      <c r="N248" s="246"/>
      <c r="O248" s="246"/>
    </row>
    <row r="249" spans="1:23" s="278" customFormat="1" ht="22.5" customHeight="1" x14ac:dyDescent="0.2">
      <c r="A249" s="246"/>
      <c r="B249" s="246"/>
      <c r="C249" s="246"/>
      <c r="D249" s="244"/>
      <c r="E249" s="48"/>
      <c r="F249" s="47"/>
      <c r="G249" s="49"/>
      <c r="H249" s="244"/>
      <c r="I249" s="246"/>
      <c r="J249" s="246"/>
      <c r="K249" s="244"/>
      <c r="L249" s="246"/>
      <c r="M249" s="246"/>
      <c r="N249" s="246"/>
      <c r="O249" s="246"/>
    </row>
    <row r="250" spans="1:23" s="278" customFormat="1" ht="22.5" customHeight="1" x14ac:dyDescent="0.2">
      <c r="A250" s="246"/>
      <c r="B250" s="246"/>
      <c r="C250" s="246"/>
      <c r="D250" s="244"/>
      <c r="E250" s="35"/>
      <c r="F250" s="32"/>
      <c r="G250" s="36"/>
      <c r="H250" s="244"/>
      <c r="I250" s="246"/>
      <c r="J250" s="246"/>
      <c r="K250" s="244"/>
      <c r="L250" s="246"/>
      <c r="M250" s="246"/>
      <c r="N250" s="246"/>
      <c r="O250" s="246"/>
    </row>
    <row r="251" spans="1:23" s="278" customFormat="1" ht="22.5" customHeight="1" x14ac:dyDescent="0.2">
      <c r="A251" s="246"/>
      <c r="B251" s="246"/>
      <c r="C251" s="246"/>
      <c r="D251" s="244"/>
      <c r="E251" s="48"/>
      <c r="F251" s="47"/>
      <c r="G251" s="49"/>
      <c r="H251" s="244"/>
      <c r="I251" s="246"/>
      <c r="J251" s="246"/>
      <c r="K251" s="244"/>
      <c r="L251" s="246"/>
      <c r="M251" s="246"/>
      <c r="N251" s="246"/>
      <c r="O251" s="246"/>
    </row>
    <row r="252" spans="1:23" s="278" customFormat="1" ht="22.5" customHeight="1" x14ac:dyDescent="0.2">
      <c r="A252" s="246"/>
      <c r="B252" s="246"/>
      <c r="C252" s="246"/>
      <c r="D252" s="244"/>
      <c r="E252" s="35"/>
      <c r="F252" s="32"/>
      <c r="G252" s="36"/>
      <c r="H252" s="244"/>
      <c r="I252" s="246"/>
      <c r="J252" s="246"/>
      <c r="K252" s="244"/>
      <c r="L252" s="246"/>
      <c r="M252" s="246"/>
      <c r="N252" s="246"/>
      <c r="O252" s="246"/>
    </row>
    <row r="253" spans="1:23" s="278" customFormat="1" ht="22.5" customHeight="1" x14ac:dyDescent="0.2">
      <c r="A253" s="246"/>
      <c r="B253" s="246"/>
      <c r="C253" s="246"/>
      <c r="D253" s="244"/>
      <c r="E253" s="48"/>
      <c r="F253" s="47"/>
      <c r="G253" s="49"/>
      <c r="H253" s="244"/>
      <c r="I253" s="246"/>
      <c r="J253" s="246"/>
      <c r="K253" s="244"/>
      <c r="L253" s="246"/>
      <c r="M253" s="246"/>
      <c r="N253" s="246"/>
      <c r="O253" s="246"/>
    </row>
    <row r="254" spans="1:23" s="278" customFormat="1" ht="22.5" customHeight="1" x14ac:dyDescent="0.2">
      <c r="A254" s="246"/>
      <c r="B254" s="246"/>
      <c r="C254" s="246"/>
      <c r="D254" s="244"/>
      <c r="E254" s="35"/>
      <c r="F254" s="32"/>
      <c r="G254" s="36"/>
      <c r="H254" s="244"/>
      <c r="I254" s="246"/>
      <c r="J254" s="246"/>
      <c r="K254" s="244"/>
      <c r="L254" s="246"/>
      <c r="M254" s="246"/>
      <c r="N254" s="246"/>
      <c r="O254" s="246"/>
    </row>
    <row r="255" spans="1:23" s="278" customFormat="1" ht="22.5" customHeight="1" x14ac:dyDescent="0.2">
      <c r="A255" s="246"/>
      <c r="B255" s="246"/>
      <c r="C255" s="246"/>
      <c r="D255" s="244"/>
      <c r="E255" s="48"/>
      <c r="F255" s="47"/>
      <c r="G255" s="49"/>
      <c r="H255" s="244"/>
      <c r="I255" s="246"/>
      <c r="J255" s="246"/>
      <c r="K255" s="244"/>
      <c r="L255" s="246"/>
      <c r="M255" s="246"/>
      <c r="N255" s="246"/>
      <c r="O255" s="246"/>
    </row>
    <row r="256" spans="1:23" s="278" customFormat="1" ht="22.5" customHeight="1" x14ac:dyDescent="0.2">
      <c r="A256" s="246"/>
      <c r="B256" s="246"/>
      <c r="C256" s="246"/>
      <c r="D256" s="244"/>
      <c r="E256" s="35"/>
      <c r="F256" s="32"/>
      <c r="G256" s="36"/>
      <c r="H256" s="244"/>
      <c r="I256" s="246"/>
      <c r="J256" s="246"/>
      <c r="K256" s="244"/>
      <c r="L256" s="246"/>
      <c r="M256" s="246"/>
      <c r="N256" s="246"/>
      <c r="O256" s="246"/>
    </row>
    <row r="257" spans="1:15" s="278" customFormat="1" ht="22.5" customHeight="1" x14ac:dyDescent="0.2">
      <c r="A257" s="246"/>
      <c r="B257" s="246"/>
      <c r="C257" s="246"/>
      <c r="D257" s="244"/>
      <c r="E257" s="48"/>
      <c r="F257" s="47"/>
      <c r="G257" s="49"/>
      <c r="H257" s="244"/>
      <c r="I257" s="246"/>
      <c r="J257" s="246"/>
      <c r="K257" s="244"/>
      <c r="L257" s="246"/>
      <c r="M257" s="246"/>
      <c r="N257" s="246"/>
      <c r="O257" s="246"/>
    </row>
    <row r="258" spans="1:15" s="278" customFormat="1" ht="22.5" customHeight="1" x14ac:dyDescent="0.2">
      <c r="A258" s="246"/>
      <c r="B258" s="246"/>
      <c r="C258" s="246"/>
      <c r="D258" s="244"/>
      <c r="E258" s="35"/>
      <c r="F258" s="32"/>
      <c r="G258" s="36"/>
      <c r="H258" s="244"/>
      <c r="I258" s="246"/>
      <c r="J258" s="246"/>
      <c r="K258" s="244"/>
      <c r="L258" s="246"/>
      <c r="M258" s="246"/>
      <c r="N258" s="246"/>
      <c r="O258" s="246"/>
    </row>
    <row r="259" spans="1:15" s="278" customFormat="1" ht="22.5" customHeight="1" x14ac:dyDescent="0.2">
      <c r="A259" s="246"/>
      <c r="B259" s="246"/>
      <c r="C259" s="246"/>
      <c r="D259" s="244"/>
      <c r="E259" s="48"/>
      <c r="F259" s="47"/>
      <c r="G259" s="49"/>
      <c r="H259" s="244"/>
      <c r="I259" s="246"/>
      <c r="J259" s="246"/>
      <c r="K259" s="244"/>
      <c r="L259" s="246"/>
      <c r="M259" s="246"/>
      <c r="N259" s="246"/>
      <c r="O259" s="246"/>
    </row>
    <row r="260" spans="1:15" s="278" customFormat="1" ht="22.5" customHeight="1" x14ac:dyDescent="0.2">
      <c r="A260" s="246"/>
      <c r="B260" s="246"/>
      <c r="C260" s="246"/>
      <c r="D260" s="244"/>
      <c r="E260" s="35"/>
      <c r="F260" s="32"/>
      <c r="G260" s="36"/>
      <c r="H260" s="244"/>
      <c r="I260" s="246"/>
      <c r="J260" s="246"/>
      <c r="K260" s="244"/>
      <c r="L260" s="246"/>
      <c r="M260" s="246"/>
      <c r="N260" s="246"/>
      <c r="O260" s="246"/>
    </row>
    <row r="261" spans="1:15" s="278" customFormat="1" ht="22.5" customHeight="1" x14ac:dyDescent="0.2">
      <c r="A261" s="246"/>
      <c r="B261" s="246"/>
      <c r="C261" s="246"/>
      <c r="D261" s="244"/>
      <c r="E261" s="48"/>
      <c r="F261" s="47"/>
      <c r="G261" s="49"/>
      <c r="H261" s="244"/>
      <c r="I261" s="246"/>
      <c r="J261" s="246"/>
      <c r="K261" s="244"/>
      <c r="L261" s="246"/>
      <c r="M261" s="246"/>
      <c r="N261" s="246"/>
      <c r="O261" s="246"/>
    </row>
    <row r="262" spans="1:15" s="278" customFormat="1" ht="22.5" customHeight="1" x14ac:dyDescent="0.2">
      <c r="A262" s="246"/>
      <c r="B262" s="246"/>
      <c r="C262" s="246"/>
      <c r="D262" s="244"/>
      <c r="E262" s="35"/>
      <c r="F262" s="32"/>
      <c r="G262" s="36"/>
      <c r="H262" s="244"/>
      <c r="I262" s="246"/>
      <c r="J262" s="246"/>
      <c r="K262" s="244"/>
      <c r="L262" s="246"/>
      <c r="M262" s="246"/>
      <c r="N262" s="246"/>
      <c r="O262" s="246"/>
    </row>
    <row r="263" spans="1:15" s="278" customFormat="1" ht="22.5" customHeight="1" x14ac:dyDescent="0.2">
      <c r="A263" s="246"/>
      <c r="B263" s="246"/>
      <c r="C263" s="246"/>
      <c r="D263" s="244"/>
      <c r="E263" s="48"/>
      <c r="F263" s="47"/>
      <c r="G263" s="49"/>
      <c r="H263" s="244"/>
      <c r="I263" s="246"/>
      <c r="J263" s="246"/>
      <c r="K263" s="244"/>
      <c r="L263" s="246"/>
      <c r="M263" s="246"/>
      <c r="N263" s="246"/>
      <c r="O263" s="246"/>
    </row>
    <row r="264" spans="1:15" s="278" customFormat="1" ht="22.5" customHeight="1" x14ac:dyDescent="0.2">
      <c r="A264" s="246"/>
      <c r="B264" s="246"/>
      <c r="C264" s="246"/>
      <c r="D264" s="244"/>
      <c r="E264" s="35"/>
      <c r="F264" s="32"/>
      <c r="G264" s="36"/>
      <c r="H264" s="244"/>
      <c r="I264" s="246"/>
      <c r="J264" s="246"/>
      <c r="K264" s="244"/>
      <c r="L264" s="246"/>
      <c r="M264" s="246"/>
      <c r="N264" s="246"/>
      <c r="O264" s="246"/>
    </row>
    <row r="265" spans="1:15" s="278" customFormat="1" ht="22.5" customHeight="1" x14ac:dyDescent="0.2">
      <c r="A265" s="246"/>
      <c r="B265" s="246"/>
      <c r="C265" s="246"/>
      <c r="D265" s="244"/>
      <c r="E265" s="48"/>
      <c r="F265" s="47"/>
      <c r="G265" s="49"/>
      <c r="H265" s="244"/>
      <c r="I265" s="246"/>
      <c r="J265" s="246"/>
      <c r="K265" s="244"/>
      <c r="L265" s="246"/>
      <c r="M265" s="246"/>
      <c r="N265" s="246"/>
      <c r="O265" s="246"/>
    </row>
    <row r="266" spans="1:15" s="278" customFormat="1" ht="19.5" customHeight="1" x14ac:dyDescent="0.2">
      <c r="A266" s="246"/>
      <c r="B266" s="246"/>
      <c r="C266" s="246"/>
      <c r="D266" s="244"/>
      <c r="E266" s="35"/>
      <c r="F266" s="32"/>
      <c r="G266" s="36"/>
      <c r="H266" s="244"/>
      <c r="I266" s="246"/>
      <c r="J266" s="246"/>
      <c r="K266" s="244"/>
      <c r="L266" s="246"/>
      <c r="M266" s="246"/>
      <c r="N266" s="246"/>
      <c r="O266" s="246"/>
    </row>
    <row r="267" spans="1:15" s="278" customFormat="1" ht="19.5" customHeight="1" x14ac:dyDescent="0.2">
      <c r="A267" s="246"/>
      <c r="B267" s="246"/>
      <c r="C267" s="246"/>
      <c r="D267" s="244"/>
      <c r="E267" s="48"/>
      <c r="F267" s="47"/>
      <c r="G267" s="49"/>
      <c r="H267" s="244"/>
      <c r="I267" s="246"/>
      <c r="J267" s="246"/>
      <c r="K267" s="244"/>
      <c r="L267" s="246"/>
      <c r="M267" s="246"/>
      <c r="N267" s="246"/>
      <c r="O267" s="246"/>
    </row>
    <row r="268" spans="1:15" s="278" customFormat="1" ht="19.5" customHeight="1" x14ac:dyDescent="0.2">
      <c r="A268" s="246"/>
      <c r="B268" s="246"/>
      <c r="C268" s="246"/>
      <c r="D268" s="244"/>
      <c r="E268" s="35"/>
      <c r="F268" s="32"/>
      <c r="G268" s="36"/>
      <c r="H268" s="244"/>
      <c r="I268" s="246"/>
      <c r="J268" s="246"/>
      <c r="K268" s="244"/>
      <c r="L268" s="246"/>
      <c r="M268" s="246"/>
      <c r="N268" s="246"/>
      <c r="O268" s="246"/>
    </row>
    <row r="269" spans="1:15" s="278" customFormat="1" ht="19.5" customHeight="1" x14ac:dyDescent="0.2">
      <c r="A269" s="246"/>
      <c r="B269" s="246"/>
      <c r="C269" s="246"/>
      <c r="D269" s="244"/>
      <c r="E269" s="48"/>
      <c r="F269" s="47"/>
      <c r="G269" s="49"/>
      <c r="H269" s="244"/>
      <c r="I269" s="246"/>
      <c r="J269" s="246"/>
      <c r="K269" s="244"/>
      <c r="L269" s="246"/>
      <c r="M269" s="246"/>
      <c r="N269" s="246"/>
      <c r="O269" s="246"/>
    </row>
    <row r="270" spans="1:15" s="278" customFormat="1" ht="19.5" customHeight="1" x14ac:dyDescent="0.2">
      <c r="A270" s="246"/>
      <c r="B270" s="246"/>
      <c r="C270" s="246"/>
      <c r="D270" s="244"/>
      <c r="E270" s="35"/>
      <c r="F270" s="32"/>
      <c r="G270" s="36"/>
      <c r="H270" s="244"/>
      <c r="I270" s="246"/>
      <c r="J270" s="246"/>
      <c r="K270" s="244"/>
      <c r="L270" s="246"/>
      <c r="M270" s="246"/>
      <c r="N270" s="246"/>
      <c r="O270" s="246"/>
    </row>
    <row r="271" spans="1:15" s="278" customFormat="1" ht="19.5" customHeight="1" x14ac:dyDescent="0.2">
      <c r="A271" s="246"/>
      <c r="B271" s="246"/>
      <c r="C271" s="246"/>
      <c r="D271" s="244"/>
      <c r="E271" s="48"/>
      <c r="F271" s="47"/>
      <c r="G271" s="49"/>
      <c r="H271" s="244"/>
      <c r="I271" s="246"/>
      <c r="J271" s="246"/>
      <c r="K271" s="244"/>
      <c r="L271" s="246"/>
      <c r="M271" s="246"/>
      <c r="N271" s="246"/>
      <c r="O271" s="246"/>
    </row>
    <row r="272" spans="1:15" s="278" customFormat="1" ht="19.5" customHeight="1" x14ac:dyDescent="0.2">
      <c r="A272" s="246"/>
      <c r="B272" s="246"/>
      <c r="C272" s="246"/>
      <c r="D272" s="244"/>
      <c r="E272" s="35"/>
      <c r="F272" s="32"/>
      <c r="G272" s="36"/>
      <c r="H272" s="244"/>
      <c r="I272" s="246"/>
      <c r="J272" s="246"/>
      <c r="K272" s="244"/>
      <c r="L272" s="246"/>
      <c r="M272" s="246"/>
      <c r="N272" s="246"/>
      <c r="O272" s="246"/>
    </row>
    <row r="273" spans="1:15" s="278" customFormat="1" ht="19.5" customHeight="1" x14ac:dyDescent="0.2">
      <c r="A273" s="246"/>
      <c r="B273" s="246"/>
      <c r="C273" s="246"/>
      <c r="D273" s="244"/>
      <c r="E273" s="48"/>
      <c r="F273" s="47"/>
      <c r="G273" s="49"/>
      <c r="H273" s="244"/>
      <c r="I273" s="246"/>
      <c r="J273" s="246"/>
      <c r="K273" s="244"/>
      <c r="L273" s="246"/>
      <c r="M273" s="246"/>
      <c r="N273" s="246"/>
      <c r="O273" s="246"/>
    </row>
    <row r="274" spans="1:15" s="278" customFormat="1" ht="19.5" customHeight="1" x14ac:dyDescent="0.2">
      <c r="A274" s="246"/>
      <c r="B274" s="246"/>
      <c r="C274" s="246"/>
      <c r="D274" s="244"/>
      <c r="E274" s="35"/>
      <c r="F274" s="32"/>
      <c r="G274" s="36"/>
      <c r="H274" s="244"/>
      <c r="I274" s="246"/>
      <c r="J274" s="246"/>
      <c r="K274" s="244"/>
      <c r="L274" s="246"/>
      <c r="M274" s="246"/>
      <c r="N274" s="246"/>
      <c r="O274" s="246"/>
    </row>
    <row r="275" spans="1:15" s="278" customFormat="1" ht="19.5" customHeight="1" x14ac:dyDescent="0.2">
      <c r="A275" s="246"/>
      <c r="B275" s="246"/>
      <c r="C275" s="246"/>
      <c r="D275" s="244"/>
      <c r="E275" s="48"/>
      <c r="F275" s="47"/>
      <c r="G275" s="49"/>
      <c r="H275" s="244"/>
      <c r="I275" s="246"/>
      <c r="J275" s="246"/>
      <c r="K275" s="244"/>
      <c r="L275" s="246"/>
      <c r="M275" s="246"/>
      <c r="N275" s="246"/>
      <c r="O275" s="246"/>
    </row>
    <row r="276" spans="1:15" s="278" customFormat="1" ht="19.5" customHeight="1" x14ac:dyDescent="0.2">
      <c r="A276" s="246"/>
      <c r="B276" s="246"/>
      <c r="C276" s="246"/>
      <c r="D276" s="244"/>
      <c r="E276" s="35"/>
      <c r="F276" s="32"/>
      <c r="G276" s="36"/>
      <c r="H276" s="244"/>
      <c r="I276" s="246"/>
      <c r="J276" s="246"/>
      <c r="K276" s="244"/>
      <c r="L276" s="246"/>
      <c r="M276" s="246"/>
      <c r="N276" s="246"/>
      <c r="O276" s="246"/>
    </row>
    <row r="277" spans="1:15" s="278" customFormat="1" ht="19.5" customHeight="1" x14ac:dyDescent="0.2">
      <c r="A277" s="246"/>
      <c r="B277" s="246"/>
      <c r="C277" s="246"/>
      <c r="D277" s="244"/>
      <c r="E277" s="48"/>
      <c r="F277" s="47"/>
      <c r="G277" s="49"/>
      <c r="H277" s="244"/>
      <c r="I277" s="246"/>
      <c r="J277" s="246"/>
      <c r="K277" s="244"/>
      <c r="L277" s="246"/>
      <c r="M277" s="246"/>
      <c r="N277" s="246"/>
      <c r="O277" s="246"/>
    </row>
    <row r="278" spans="1:15" s="278" customFormat="1" ht="19.5" customHeight="1" x14ac:dyDescent="0.2">
      <c r="A278" s="246"/>
      <c r="B278" s="246"/>
      <c r="C278" s="246"/>
      <c r="D278" s="244"/>
      <c r="E278" s="35"/>
      <c r="F278" s="32"/>
      <c r="G278" s="36"/>
      <c r="H278" s="244"/>
      <c r="I278" s="246"/>
      <c r="J278" s="246"/>
      <c r="K278" s="244"/>
      <c r="L278" s="246"/>
      <c r="M278" s="246"/>
      <c r="N278" s="246"/>
      <c r="O278" s="246"/>
    </row>
    <row r="279" spans="1:15" s="278" customFormat="1" ht="19.5" customHeight="1" x14ac:dyDescent="0.2">
      <c r="A279" s="246"/>
      <c r="B279" s="246"/>
      <c r="C279" s="246"/>
      <c r="D279" s="244"/>
      <c r="E279" s="48"/>
      <c r="F279" s="47"/>
      <c r="G279" s="49"/>
      <c r="H279" s="244"/>
      <c r="I279" s="246"/>
      <c r="J279" s="246"/>
      <c r="K279" s="244"/>
      <c r="L279" s="246"/>
      <c r="M279" s="246"/>
      <c r="N279" s="246"/>
      <c r="O279" s="246"/>
    </row>
    <row r="280" spans="1:15" s="278" customFormat="1" ht="19.5" customHeight="1" x14ac:dyDescent="0.2">
      <c r="A280" s="246"/>
      <c r="B280" s="246"/>
      <c r="C280" s="246"/>
      <c r="D280" s="244"/>
      <c r="E280" s="35"/>
      <c r="F280" s="32"/>
      <c r="G280" s="36"/>
      <c r="H280" s="244"/>
      <c r="I280" s="246"/>
      <c r="J280" s="246"/>
      <c r="K280" s="244"/>
      <c r="L280" s="246"/>
      <c r="M280" s="246"/>
      <c r="N280" s="246"/>
      <c r="O280" s="246"/>
    </row>
    <row r="281" spans="1:15" s="278" customFormat="1" ht="19.5" customHeight="1" x14ac:dyDescent="0.2">
      <c r="A281" s="246"/>
      <c r="B281" s="246"/>
      <c r="C281" s="246"/>
      <c r="D281" s="244"/>
      <c r="E281" s="48"/>
      <c r="F281" s="47"/>
      <c r="G281" s="49"/>
      <c r="H281" s="244"/>
      <c r="I281" s="246"/>
      <c r="J281" s="246"/>
      <c r="K281" s="244"/>
      <c r="L281" s="246"/>
      <c r="M281" s="246"/>
      <c r="N281" s="246"/>
      <c r="O281" s="246"/>
    </row>
    <row r="282" spans="1:15" s="278" customFormat="1" ht="15.75" customHeight="1" x14ac:dyDescent="0.2">
      <c r="A282" s="246"/>
      <c r="B282" s="246"/>
      <c r="C282" s="246"/>
      <c r="D282" s="244"/>
      <c r="E282" s="35"/>
      <c r="F282" s="32"/>
      <c r="G282" s="36"/>
      <c r="H282" s="244"/>
      <c r="I282" s="246"/>
      <c r="J282" s="246"/>
      <c r="K282" s="244"/>
      <c r="L282" s="246"/>
      <c r="M282" s="246"/>
      <c r="N282" s="246"/>
      <c r="O282" s="246"/>
    </row>
    <row r="283" spans="1:15" s="278" customFormat="1" ht="15.75" customHeight="1" x14ac:dyDescent="0.2">
      <c r="A283" s="246"/>
      <c r="B283" s="246"/>
      <c r="C283" s="246"/>
      <c r="D283" s="244"/>
      <c r="E283" s="48"/>
      <c r="F283" s="47"/>
      <c r="G283" s="49"/>
      <c r="H283" s="244"/>
      <c r="I283" s="246"/>
      <c r="J283" s="246"/>
      <c r="K283" s="244"/>
      <c r="L283" s="246"/>
      <c r="M283" s="246"/>
      <c r="N283" s="246"/>
      <c r="O283" s="246"/>
    </row>
    <row r="284" spans="1:15" s="278" customFormat="1" ht="15.75" customHeight="1" x14ac:dyDescent="0.2">
      <c r="A284" s="246"/>
      <c r="B284" s="246"/>
      <c r="C284" s="246"/>
      <c r="D284" s="244"/>
      <c r="E284" s="35"/>
      <c r="F284" s="32"/>
      <c r="G284" s="36"/>
      <c r="H284" s="244"/>
      <c r="I284" s="246"/>
      <c r="J284" s="246"/>
      <c r="K284" s="244"/>
      <c r="L284" s="246"/>
      <c r="M284" s="246"/>
      <c r="N284" s="246"/>
      <c r="O284" s="246"/>
    </row>
    <row r="285" spans="1:15" s="278" customFormat="1" ht="15.75" customHeight="1" x14ac:dyDescent="0.2">
      <c r="A285" s="246"/>
      <c r="B285" s="246"/>
      <c r="C285" s="246"/>
      <c r="D285" s="244"/>
      <c r="E285" s="48"/>
      <c r="F285" s="47"/>
      <c r="G285" s="49"/>
      <c r="H285" s="244"/>
      <c r="I285" s="246"/>
      <c r="J285" s="246"/>
      <c r="K285" s="244"/>
      <c r="L285" s="246"/>
      <c r="M285" s="246"/>
      <c r="N285" s="246"/>
      <c r="O285" s="246"/>
    </row>
    <row r="286" spans="1:15" s="278" customFormat="1" ht="15.75" customHeight="1" x14ac:dyDescent="0.2">
      <c r="A286" s="246"/>
      <c r="B286" s="246"/>
      <c r="C286" s="246"/>
      <c r="D286" s="244"/>
      <c r="E286" s="35"/>
      <c r="F286" s="32"/>
      <c r="G286" s="36"/>
      <c r="H286" s="244"/>
      <c r="I286" s="246"/>
      <c r="J286" s="246"/>
      <c r="K286" s="244"/>
      <c r="L286" s="246"/>
      <c r="M286" s="246"/>
      <c r="N286" s="246"/>
      <c r="O286" s="246"/>
    </row>
    <row r="287" spans="1:15" s="278" customFormat="1" ht="15.75" customHeight="1" x14ac:dyDescent="0.2">
      <c r="A287" s="246"/>
      <c r="B287" s="246"/>
      <c r="C287" s="246"/>
      <c r="D287" s="244"/>
      <c r="E287" s="48"/>
      <c r="F287" s="47"/>
      <c r="G287" s="49"/>
      <c r="H287" s="244"/>
      <c r="I287" s="246"/>
      <c r="J287" s="246"/>
      <c r="K287" s="244"/>
      <c r="L287" s="246"/>
      <c r="M287" s="246"/>
      <c r="N287" s="246"/>
      <c r="O287" s="246"/>
    </row>
    <row r="288" spans="1:15" s="278" customFormat="1" ht="15.75" customHeight="1" x14ac:dyDescent="0.2">
      <c r="A288" s="246"/>
      <c r="B288" s="246"/>
      <c r="C288" s="246"/>
      <c r="D288" s="244"/>
      <c r="E288" s="35"/>
      <c r="F288" s="32"/>
      <c r="G288" s="36"/>
      <c r="H288" s="244"/>
      <c r="I288" s="246"/>
      <c r="J288" s="246"/>
      <c r="K288" s="244"/>
      <c r="L288" s="246"/>
      <c r="M288" s="246"/>
      <c r="N288" s="246"/>
      <c r="O288" s="246"/>
    </row>
    <row r="289" spans="1:15" s="278" customFormat="1" ht="15.75" customHeight="1" x14ac:dyDescent="0.2">
      <c r="A289" s="246"/>
      <c r="B289" s="246"/>
      <c r="C289" s="246"/>
      <c r="D289" s="244"/>
      <c r="E289" s="48"/>
      <c r="F289" s="47"/>
      <c r="G289" s="49"/>
      <c r="H289" s="244"/>
      <c r="I289" s="246"/>
      <c r="J289" s="246"/>
      <c r="K289" s="244"/>
      <c r="L289" s="246"/>
      <c r="M289" s="246"/>
      <c r="N289" s="246"/>
      <c r="O289" s="246"/>
    </row>
    <row r="290" spans="1:15" s="278" customFormat="1" ht="15.75" customHeight="1" x14ac:dyDescent="0.2">
      <c r="A290" s="246"/>
      <c r="B290" s="246"/>
      <c r="C290" s="246"/>
      <c r="D290" s="244"/>
      <c r="E290" s="35"/>
      <c r="F290" s="32"/>
      <c r="G290" s="36"/>
      <c r="H290" s="244"/>
      <c r="I290" s="246"/>
      <c r="J290" s="246"/>
      <c r="K290" s="244"/>
      <c r="L290" s="246"/>
      <c r="M290" s="246"/>
      <c r="N290" s="246"/>
      <c r="O290" s="246"/>
    </row>
    <row r="291" spans="1:15" s="278" customFormat="1" ht="15.75" customHeight="1" x14ac:dyDescent="0.2">
      <c r="A291" s="246"/>
      <c r="B291" s="246"/>
      <c r="C291" s="246"/>
      <c r="D291" s="244"/>
      <c r="E291" s="48"/>
      <c r="F291" s="47"/>
      <c r="G291" s="49"/>
      <c r="H291" s="244"/>
      <c r="I291" s="246"/>
      <c r="J291" s="246"/>
      <c r="K291" s="244"/>
      <c r="L291" s="246"/>
      <c r="M291" s="246"/>
      <c r="N291" s="246"/>
      <c r="O291" s="246"/>
    </row>
    <row r="292" spans="1:15" s="278" customFormat="1" ht="15.75" customHeight="1" x14ac:dyDescent="0.2">
      <c r="A292" s="246"/>
      <c r="B292" s="246"/>
      <c r="C292" s="246"/>
      <c r="D292" s="244"/>
      <c r="E292" s="35"/>
      <c r="F292" s="32"/>
      <c r="G292" s="36"/>
      <c r="H292" s="244"/>
      <c r="I292" s="246"/>
      <c r="J292" s="246"/>
      <c r="K292" s="244"/>
      <c r="L292" s="246"/>
      <c r="M292" s="246"/>
      <c r="N292" s="246"/>
      <c r="O292" s="246"/>
    </row>
    <row r="293" spans="1:15" s="278" customFormat="1" ht="15.75" customHeight="1" x14ac:dyDescent="0.2">
      <c r="A293" s="246"/>
      <c r="B293" s="246"/>
      <c r="C293" s="246"/>
      <c r="D293" s="244"/>
      <c r="E293" s="48"/>
      <c r="F293" s="47"/>
      <c r="G293" s="49"/>
      <c r="H293" s="244"/>
      <c r="I293" s="246"/>
      <c r="J293" s="246"/>
      <c r="K293" s="244"/>
      <c r="L293" s="246"/>
      <c r="M293" s="246"/>
      <c r="N293" s="246"/>
      <c r="O293" s="246"/>
    </row>
    <row r="294" spans="1:15" s="278" customFormat="1" ht="15.75" customHeight="1" x14ac:dyDescent="0.2">
      <c r="A294" s="246"/>
      <c r="B294" s="246"/>
      <c r="C294" s="246"/>
      <c r="D294" s="244"/>
      <c r="E294" s="35"/>
      <c r="F294" s="32"/>
      <c r="G294" s="36"/>
      <c r="H294" s="244"/>
      <c r="I294" s="246"/>
      <c r="J294" s="246"/>
      <c r="K294" s="244"/>
      <c r="L294" s="246"/>
      <c r="M294" s="246"/>
      <c r="N294" s="246"/>
      <c r="O294" s="246"/>
    </row>
    <row r="295" spans="1:15" s="278" customFormat="1" ht="15.75" customHeight="1" x14ac:dyDescent="0.2">
      <c r="A295" s="246"/>
      <c r="B295" s="246"/>
      <c r="C295" s="246"/>
      <c r="D295" s="244"/>
      <c r="E295" s="48"/>
      <c r="F295" s="47"/>
      <c r="G295" s="49"/>
      <c r="H295" s="244"/>
      <c r="I295" s="246"/>
      <c r="J295" s="246"/>
      <c r="K295" s="244"/>
      <c r="L295" s="246"/>
      <c r="M295" s="246"/>
      <c r="N295" s="246"/>
      <c r="O295" s="246"/>
    </row>
    <row r="296" spans="1:15" s="278" customFormat="1" ht="15.75" customHeight="1" x14ac:dyDescent="0.2">
      <c r="A296" s="246"/>
      <c r="B296" s="246"/>
      <c r="C296" s="246"/>
      <c r="D296" s="244"/>
      <c r="E296" s="35"/>
      <c r="F296" s="32"/>
      <c r="G296" s="36"/>
      <c r="H296" s="244"/>
      <c r="I296" s="246"/>
      <c r="J296" s="246"/>
      <c r="K296" s="244"/>
      <c r="L296" s="246"/>
      <c r="M296" s="246"/>
      <c r="N296" s="246"/>
      <c r="O296" s="246"/>
    </row>
    <row r="297" spans="1:15" s="278" customFormat="1" ht="15.75" customHeight="1" x14ac:dyDescent="0.2">
      <c r="A297" s="246"/>
      <c r="B297" s="246"/>
      <c r="C297" s="246"/>
      <c r="D297" s="244"/>
      <c r="E297" s="48"/>
      <c r="F297" s="47"/>
      <c r="G297" s="49"/>
      <c r="H297" s="244"/>
      <c r="I297" s="246"/>
      <c r="J297" s="246"/>
      <c r="K297" s="244"/>
      <c r="L297" s="246"/>
      <c r="M297" s="246"/>
      <c r="N297" s="246"/>
      <c r="O297" s="246"/>
    </row>
    <row r="298" spans="1:15" s="278" customFormat="1" ht="15.75" customHeight="1" x14ac:dyDescent="0.2">
      <c r="A298" s="246"/>
      <c r="B298" s="246"/>
      <c r="C298" s="246"/>
      <c r="D298" s="244"/>
      <c r="E298" s="35"/>
      <c r="F298" s="32"/>
      <c r="G298" s="36"/>
      <c r="H298" s="244"/>
      <c r="I298" s="246"/>
      <c r="J298" s="246"/>
      <c r="K298" s="244"/>
      <c r="L298" s="246"/>
      <c r="M298" s="246"/>
      <c r="N298" s="246"/>
      <c r="O298" s="246"/>
    </row>
    <row r="299" spans="1:15" s="278" customFormat="1" ht="15.75" customHeight="1" x14ac:dyDescent="0.2">
      <c r="A299" s="246"/>
      <c r="B299" s="246"/>
      <c r="C299" s="246"/>
      <c r="D299" s="244"/>
      <c r="E299" s="48"/>
      <c r="F299" s="47"/>
      <c r="G299" s="49"/>
      <c r="H299" s="244"/>
      <c r="I299" s="246"/>
      <c r="J299" s="246"/>
      <c r="K299" s="244"/>
      <c r="L299" s="246"/>
      <c r="M299" s="246"/>
      <c r="N299" s="246"/>
      <c r="O299" s="246"/>
    </row>
    <row r="300" spans="1:15" s="278" customFormat="1" ht="15.75" customHeight="1" x14ac:dyDescent="0.2">
      <c r="A300" s="246"/>
      <c r="B300" s="246"/>
      <c r="C300" s="246"/>
      <c r="D300" s="244"/>
      <c r="E300" s="35"/>
      <c r="F300" s="32"/>
      <c r="G300" s="36"/>
      <c r="H300" s="244"/>
      <c r="I300" s="246"/>
      <c r="J300" s="246"/>
      <c r="K300" s="244"/>
      <c r="L300" s="246"/>
      <c r="M300" s="246"/>
      <c r="N300" s="246"/>
      <c r="O300" s="246"/>
    </row>
    <row r="301" spans="1:15" s="278" customFormat="1" ht="15.75" customHeight="1" x14ac:dyDescent="0.2">
      <c r="A301" s="246"/>
      <c r="B301" s="246"/>
      <c r="C301" s="246"/>
      <c r="D301" s="244"/>
      <c r="E301" s="48"/>
      <c r="F301" s="47"/>
      <c r="G301" s="49"/>
      <c r="H301" s="244"/>
      <c r="I301" s="246"/>
      <c r="J301" s="246"/>
      <c r="K301" s="244"/>
      <c r="L301" s="246"/>
      <c r="M301" s="246"/>
      <c r="N301" s="246"/>
      <c r="O301" s="246"/>
    </row>
    <row r="302" spans="1:15" s="278" customFormat="1" ht="15.75" customHeight="1" x14ac:dyDescent="0.2">
      <c r="A302" s="246"/>
      <c r="B302" s="246"/>
      <c r="C302" s="246"/>
      <c r="D302" s="244"/>
      <c r="E302" s="35"/>
      <c r="F302" s="32"/>
      <c r="G302" s="36"/>
      <c r="H302" s="244"/>
      <c r="I302" s="246"/>
      <c r="J302" s="246"/>
      <c r="K302" s="244"/>
      <c r="L302" s="246"/>
      <c r="M302" s="246"/>
      <c r="N302" s="246"/>
      <c r="O302" s="246"/>
    </row>
    <row r="303" spans="1:15" s="278" customFormat="1" ht="15.75" customHeight="1" x14ac:dyDescent="0.2">
      <c r="A303" s="246"/>
      <c r="B303" s="246"/>
      <c r="C303" s="246"/>
      <c r="D303" s="244"/>
      <c r="E303" s="48"/>
      <c r="F303" s="47"/>
      <c r="G303" s="49"/>
      <c r="H303" s="244"/>
      <c r="I303" s="246"/>
      <c r="J303" s="246"/>
      <c r="K303" s="244"/>
      <c r="L303" s="246"/>
      <c r="M303" s="246"/>
      <c r="N303" s="246"/>
      <c r="O303" s="246"/>
    </row>
    <row r="304" spans="1:15" s="278" customFormat="1" ht="15.75" customHeight="1" x14ac:dyDescent="0.2">
      <c r="A304" s="246"/>
      <c r="B304" s="246"/>
      <c r="C304" s="246"/>
      <c r="D304" s="244"/>
      <c r="E304" s="35"/>
      <c r="F304" s="32"/>
      <c r="G304" s="36"/>
      <c r="H304" s="244"/>
      <c r="I304" s="246"/>
      <c r="J304" s="246"/>
      <c r="K304" s="244"/>
      <c r="L304" s="246"/>
      <c r="M304" s="246"/>
      <c r="N304" s="246"/>
      <c r="O304" s="246"/>
    </row>
    <row r="305" spans="1:15" s="278" customFormat="1" ht="15.75" customHeight="1" x14ac:dyDescent="0.2">
      <c r="A305" s="246"/>
      <c r="B305" s="246"/>
      <c r="C305" s="246"/>
      <c r="D305" s="244"/>
      <c r="E305" s="48"/>
      <c r="F305" s="47"/>
      <c r="G305" s="49"/>
      <c r="H305" s="244"/>
      <c r="I305" s="246"/>
      <c r="J305" s="246"/>
      <c r="K305" s="244"/>
      <c r="L305" s="246"/>
      <c r="M305" s="246"/>
      <c r="N305" s="246"/>
      <c r="O305" s="246"/>
    </row>
    <row r="306" spans="1:15" s="278" customFormat="1" ht="15.75" customHeight="1" x14ac:dyDescent="0.2">
      <c r="A306" s="246"/>
      <c r="B306" s="246"/>
      <c r="C306" s="246"/>
      <c r="D306" s="244"/>
      <c r="E306" s="35"/>
      <c r="F306" s="32"/>
      <c r="G306" s="36"/>
      <c r="H306" s="244"/>
      <c r="I306" s="246"/>
      <c r="J306" s="246"/>
      <c r="K306" s="244"/>
      <c r="L306" s="246"/>
      <c r="M306" s="246"/>
      <c r="N306" s="246"/>
      <c r="O306" s="246"/>
    </row>
    <row r="307" spans="1:15" s="278" customFormat="1" ht="15.75" customHeight="1" x14ac:dyDescent="0.2">
      <c r="A307" s="246"/>
      <c r="B307" s="246"/>
      <c r="C307" s="246"/>
      <c r="D307" s="244"/>
      <c r="E307" s="48"/>
      <c r="F307" s="47"/>
      <c r="G307" s="49"/>
      <c r="H307" s="244"/>
      <c r="I307" s="246"/>
      <c r="J307" s="246"/>
      <c r="K307" s="244"/>
      <c r="L307" s="246"/>
      <c r="M307" s="246"/>
      <c r="N307" s="246"/>
      <c r="O307" s="246"/>
    </row>
    <row r="308" spans="1:15" s="278" customFormat="1" ht="15.75" customHeight="1" x14ac:dyDescent="0.2">
      <c r="A308" s="246"/>
      <c r="B308" s="246"/>
      <c r="C308" s="246"/>
      <c r="D308" s="244"/>
      <c r="E308" s="35"/>
      <c r="F308" s="32"/>
      <c r="G308" s="36"/>
      <c r="H308" s="244"/>
      <c r="I308" s="246"/>
      <c r="J308" s="246"/>
      <c r="K308" s="244"/>
      <c r="L308" s="246"/>
      <c r="M308" s="246"/>
      <c r="N308" s="246"/>
      <c r="O308" s="246"/>
    </row>
    <row r="309" spans="1:15" s="278" customFormat="1" ht="15.75" customHeight="1" x14ac:dyDescent="0.2">
      <c r="A309" s="246"/>
      <c r="B309" s="246"/>
      <c r="C309" s="246"/>
      <c r="D309" s="244"/>
      <c r="E309" s="48"/>
      <c r="F309" s="47"/>
      <c r="G309" s="49"/>
      <c r="H309" s="244"/>
      <c r="I309" s="246"/>
      <c r="J309" s="246"/>
      <c r="K309" s="244"/>
      <c r="L309" s="246"/>
      <c r="M309" s="246"/>
      <c r="N309" s="246"/>
      <c r="O309" s="246"/>
    </row>
    <row r="310" spans="1:15" s="278" customFormat="1" ht="15.75" customHeight="1" x14ac:dyDescent="0.2">
      <c r="A310" s="246"/>
      <c r="B310" s="246"/>
      <c r="C310" s="246"/>
      <c r="D310" s="244"/>
      <c r="E310" s="35"/>
      <c r="F310" s="32"/>
      <c r="G310" s="36"/>
      <c r="H310" s="244"/>
      <c r="I310" s="246"/>
      <c r="J310" s="246"/>
      <c r="K310" s="244"/>
      <c r="L310" s="246"/>
      <c r="M310" s="246"/>
      <c r="N310" s="246"/>
      <c r="O310" s="246"/>
    </row>
    <row r="311" spans="1:15" s="278" customFormat="1" ht="15.75" customHeight="1" x14ac:dyDescent="0.2">
      <c r="A311" s="246"/>
      <c r="B311" s="246"/>
      <c r="C311" s="246"/>
      <c r="D311" s="244"/>
      <c r="E311" s="48"/>
      <c r="F311" s="47"/>
      <c r="G311" s="49"/>
      <c r="H311" s="244"/>
      <c r="I311" s="246"/>
      <c r="J311" s="246"/>
      <c r="K311" s="244"/>
      <c r="L311" s="246"/>
      <c r="M311" s="246"/>
      <c r="N311" s="246"/>
      <c r="O311" s="246"/>
    </row>
    <row r="312" spans="1:15" s="278" customFormat="1" ht="15.75" customHeight="1" x14ac:dyDescent="0.2">
      <c r="A312" s="246"/>
      <c r="B312" s="246"/>
      <c r="C312" s="246"/>
      <c r="D312" s="244"/>
      <c r="E312" s="35"/>
      <c r="F312" s="32"/>
      <c r="G312" s="36"/>
      <c r="H312" s="244"/>
      <c r="I312" s="246"/>
      <c r="J312" s="246"/>
      <c r="K312" s="244"/>
      <c r="L312" s="246"/>
      <c r="M312" s="246"/>
      <c r="N312" s="246"/>
      <c r="O312" s="246"/>
    </row>
    <row r="313" spans="1:15" s="278" customFormat="1" ht="15.75" customHeight="1" x14ac:dyDescent="0.2">
      <c r="A313" s="246"/>
      <c r="B313" s="246"/>
      <c r="C313" s="246"/>
      <c r="D313" s="244"/>
      <c r="E313" s="48"/>
      <c r="F313" s="47"/>
      <c r="G313" s="49"/>
      <c r="H313" s="244"/>
      <c r="I313" s="246"/>
      <c r="J313" s="246"/>
      <c r="K313" s="244"/>
      <c r="L313" s="246"/>
      <c r="M313" s="246"/>
      <c r="N313" s="246"/>
      <c r="O313" s="246"/>
    </row>
    <row r="314" spans="1:15" s="278" customFormat="1" ht="15.75" customHeight="1" x14ac:dyDescent="0.2">
      <c r="A314" s="246"/>
      <c r="B314" s="246"/>
      <c r="C314" s="246"/>
      <c r="D314" s="244"/>
      <c r="E314" s="35"/>
      <c r="F314" s="32"/>
      <c r="G314" s="36"/>
      <c r="H314" s="244"/>
      <c r="I314" s="246"/>
      <c r="J314" s="246"/>
      <c r="K314" s="244"/>
      <c r="L314" s="246"/>
      <c r="M314" s="246"/>
      <c r="N314" s="246"/>
      <c r="O314" s="246"/>
    </row>
    <row r="315" spans="1:15" s="278" customFormat="1" ht="15.75" customHeight="1" x14ac:dyDescent="0.2">
      <c r="A315" s="246"/>
      <c r="B315" s="246"/>
      <c r="C315" s="246"/>
      <c r="D315" s="244"/>
      <c r="E315" s="48"/>
      <c r="F315" s="47"/>
      <c r="G315" s="49"/>
      <c r="H315" s="244"/>
      <c r="I315" s="246"/>
      <c r="J315" s="246"/>
      <c r="K315" s="244"/>
      <c r="L315" s="246"/>
      <c r="M315" s="246"/>
      <c r="N315" s="246"/>
      <c r="O315" s="246"/>
    </row>
    <row r="316" spans="1:15" s="278" customFormat="1" ht="15.75" customHeight="1" x14ac:dyDescent="0.2">
      <c r="A316" s="246"/>
      <c r="B316" s="246"/>
      <c r="C316" s="246"/>
      <c r="D316" s="244"/>
      <c r="E316" s="35"/>
      <c r="F316" s="32"/>
      <c r="G316" s="36"/>
      <c r="H316" s="244"/>
      <c r="I316" s="246"/>
      <c r="J316" s="246"/>
      <c r="K316" s="244"/>
      <c r="L316" s="246"/>
      <c r="M316" s="246"/>
      <c r="N316" s="246"/>
      <c r="O316" s="246"/>
    </row>
    <row r="317" spans="1:15" s="278" customFormat="1" ht="15.75" customHeight="1" x14ac:dyDescent="0.2">
      <c r="A317" s="246"/>
      <c r="B317" s="246"/>
      <c r="C317" s="246"/>
      <c r="D317" s="244"/>
      <c r="E317" s="48"/>
      <c r="F317" s="47"/>
      <c r="G317" s="49"/>
      <c r="H317" s="244"/>
      <c r="I317" s="246"/>
      <c r="J317" s="246"/>
      <c r="K317" s="244"/>
      <c r="L317" s="246"/>
      <c r="M317" s="246"/>
      <c r="N317" s="246"/>
      <c r="O317" s="246"/>
    </row>
    <row r="318" spans="1:15" s="278" customFormat="1" ht="15.75" customHeight="1" x14ac:dyDescent="0.2">
      <c r="A318" s="246"/>
      <c r="B318" s="246"/>
      <c r="C318" s="246"/>
      <c r="D318" s="244"/>
      <c r="E318" s="35"/>
      <c r="F318" s="32"/>
      <c r="G318" s="36"/>
      <c r="H318" s="244"/>
      <c r="I318" s="246"/>
      <c r="J318" s="246"/>
      <c r="K318" s="244"/>
      <c r="L318" s="246"/>
      <c r="M318" s="246"/>
      <c r="N318" s="246"/>
      <c r="O318" s="246"/>
    </row>
    <row r="319" spans="1:15" s="278" customFormat="1" ht="15.75" customHeight="1" x14ac:dyDescent="0.2">
      <c r="A319" s="246"/>
      <c r="B319" s="246"/>
      <c r="C319" s="246"/>
      <c r="D319" s="244"/>
      <c r="E319" s="48"/>
      <c r="F319" s="47"/>
      <c r="G319" s="49"/>
      <c r="H319" s="244"/>
      <c r="I319" s="246"/>
      <c r="J319" s="246"/>
      <c r="K319" s="244"/>
      <c r="L319" s="246"/>
      <c r="M319" s="246"/>
      <c r="N319" s="246"/>
      <c r="O319" s="246"/>
    </row>
    <row r="320" spans="1:15" s="278" customFormat="1" ht="15.75" customHeight="1" x14ac:dyDescent="0.2">
      <c r="A320" s="246"/>
      <c r="B320" s="246"/>
      <c r="C320" s="246"/>
      <c r="D320" s="244"/>
      <c r="E320" s="35"/>
      <c r="F320" s="32"/>
      <c r="G320" s="36"/>
      <c r="H320" s="244"/>
      <c r="I320" s="246"/>
      <c r="J320" s="246"/>
      <c r="K320" s="244"/>
      <c r="L320" s="246"/>
      <c r="M320" s="246"/>
      <c r="N320" s="246"/>
      <c r="O320" s="246"/>
    </row>
    <row r="321" spans="1:15" s="278" customFormat="1" ht="15.75" customHeight="1" x14ac:dyDescent="0.2">
      <c r="A321" s="246"/>
      <c r="B321" s="246"/>
      <c r="C321" s="246"/>
      <c r="D321" s="244"/>
      <c r="E321" s="48"/>
      <c r="F321" s="47"/>
      <c r="G321" s="49"/>
      <c r="H321" s="244"/>
      <c r="I321" s="246"/>
      <c r="J321" s="246"/>
      <c r="K321" s="244"/>
      <c r="L321" s="246"/>
      <c r="M321" s="246"/>
      <c r="N321" s="246"/>
      <c r="O321" s="246"/>
    </row>
    <row r="322" spans="1:15" s="278" customFormat="1" ht="15.75" customHeight="1" x14ac:dyDescent="0.2">
      <c r="A322" s="246"/>
      <c r="B322" s="246"/>
      <c r="C322" s="246"/>
      <c r="D322" s="244"/>
      <c r="E322" s="35"/>
      <c r="F322" s="32"/>
      <c r="G322" s="36"/>
      <c r="H322" s="244"/>
      <c r="I322" s="246"/>
      <c r="J322" s="246"/>
      <c r="K322" s="244"/>
      <c r="L322" s="246"/>
      <c r="M322" s="246"/>
      <c r="N322" s="246"/>
      <c r="O322" s="246"/>
    </row>
    <row r="323" spans="1:15" s="278" customFormat="1" ht="15.75" customHeight="1" x14ac:dyDescent="0.2">
      <c r="A323" s="246"/>
      <c r="B323" s="246"/>
      <c r="C323" s="246"/>
      <c r="D323" s="244"/>
      <c r="E323" s="48"/>
      <c r="F323" s="47"/>
      <c r="G323" s="49"/>
      <c r="H323" s="244"/>
      <c r="I323" s="246"/>
      <c r="J323" s="246"/>
      <c r="K323" s="244"/>
      <c r="L323" s="246"/>
      <c r="M323" s="246"/>
      <c r="N323" s="246"/>
      <c r="O323" s="246"/>
    </row>
    <row r="324" spans="1:15" s="278" customFormat="1" ht="15.75" customHeight="1" x14ac:dyDescent="0.2">
      <c r="A324" s="246"/>
      <c r="B324" s="246"/>
      <c r="C324" s="246"/>
      <c r="D324" s="244"/>
      <c r="E324" s="35"/>
      <c r="F324" s="32"/>
      <c r="G324" s="36"/>
      <c r="H324" s="244"/>
      <c r="I324" s="246"/>
      <c r="J324" s="246"/>
      <c r="K324" s="244"/>
      <c r="L324" s="246"/>
      <c r="M324" s="246"/>
      <c r="N324" s="246"/>
      <c r="O324" s="246"/>
    </row>
    <row r="325" spans="1:15" s="278" customFormat="1" ht="15.75" customHeight="1" x14ac:dyDescent="0.2">
      <c r="A325" s="246"/>
      <c r="B325" s="246"/>
      <c r="C325" s="246"/>
      <c r="D325" s="244"/>
      <c r="E325" s="48"/>
      <c r="F325" s="47"/>
      <c r="G325" s="49"/>
      <c r="H325" s="244"/>
      <c r="I325" s="246"/>
      <c r="J325" s="246"/>
      <c r="K325" s="244"/>
      <c r="L325" s="246"/>
      <c r="M325" s="246"/>
      <c r="N325" s="246"/>
      <c r="O325" s="246"/>
    </row>
    <row r="326" spans="1:15" s="278" customFormat="1" ht="15.75" customHeight="1" x14ac:dyDescent="0.2">
      <c r="A326" s="246"/>
      <c r="B326" s="246"/>
      <c r="C326" s="246"/>
      <c r="D326" s="244"/>
      <c r="E326" s="35"/>
      <c r="F326" s="32"/>
      <c r="G326" s="36"/>
      <c r="H326" s="244"/>
      <c r="I326" s="246"/>
      <c r="J326" s="246"/>
      <c r="K326" s="244"/>
      <c r="L326" s="246"/>
      <c r="M326" s="246"/>
      <c r="N326" s="246"/>
      <c r="O326" s="246"/>
    </row>
    <row r="327" spans="1:15" s="278" customFormat="1" ht="15.75" customHeight="1" x14ac:dyDescent="0.2">
      <c r="A327" s="246"/>
      <c r="B327" s="246"/>
      <c r="C327" s="246"/>
      <c r="D327" s="244"/>
      <c r="E327" s="48"/>
      <c r="F327" s="47"/>
      <c r="G327" s="49"/>
      <c r="H327" s="244"/>
      <c r="I327" s="246"/>
      <c r="J327" s="246"/>
      <c r="K327" s="244"/>
      <c r="L327" s="246"/>
      <c r="M327" s="246"/>
      <c r="N327" s="246"/>
      <c r="O327" s="246"/>
    </row>
    <row r="328" spans="1:15" s="278" customFormat="1" ht="15.75" customHeight="1" x14ac:dyDescent="0.2">
      <c r="A328" s="246"/>
      <c r="B328" s="246"/>
      <c r="C328" s="246"/>
      <c r="D328" s="244"/>
      <c r="E328" s="35"/>
      <c r="F328" s="32"/>
      <c r="G328" s="36"/>
      <c r="H328" s="244"/>
      <c r="I328" s="246"/>
      <c r="J328" s="246"/>
      <c r="K328" s="244"/>
      <c r="L328" s="246"/>
      <c r="M328" s="246"/>
      <c r="N328" s="246"/>
      <c r="O328" s="246"/>
    </row>
    <row r="329" spans="1:15" s="278" customFormat="1" ht="15.75" customHeight="1" x14ac:dyDescent="0.2">
      <c r="A329" s="246"/>
      <c r="B329" s="246"/>
      <c r="C329" s="246"/>
      <c r="D329" s="244"/>
      <c r="E329" s="48"/>
      <c r="F329" s="47"/>
      <c r="G329" s="49"/>
      <c r="H329" s="244"/>
      <c r="I329" s="246"/>
      <c r="J329" s="246"/>
      <c r="K329" s="244"/>
      <c r="L329" s="246"/>
      <c r="M329" s="246"/>
      <c r="N329" s="246"/>
      <c r="O329" s="246"/>
    </row>
    <row r="330" spans="1:15" s="278" customFormat="1" ht="15.75" customHeight="1" x14ac:dyDescent="0.2">
      <c r="A330" s="246"/>
      <c r="B330" s="246"/>
      <c r="C330" s="246"/>
      <c r="D330" s="244"/>
      <c r="E330" s="35"/>
      <c r="F330" s="32"/>
      <c r="G330" s="36"/>
      <c r="H330" s="244"/>
      <c r="I330" s="246"/>
      <c r="J330" s="246"/>
      <c r="K330" s="244"/>
      <c r="L330" s="246"/>
      <c r="M330" s="246"/>
      <c r="N330" s="246"/>
      <c r="O330" s="246"/>
    </row>
    <row r="331" spans="1:15" s="278" customFormat="1" ht="15.75" customHeight="1" x14ac:dyDescent="0.2">
      <c r="A331" s="246"/>
      <c r="B331" s="246"/>
      <c r="C331" s="246"/>
      <c r="D331" s="244"/>
      <c r="E331" s="48"/>
      <c r="F331" s="47"/>
      <c r="G331" s="49"/>
      <c r="H331" s="244"/>
      <c r="I331" s="246"/>
      <c r="J331" s="246"/>
      <c r="K331" s="244"/>
      <c r="L331" s="246"/>
      <c r="M331" s="246"/>
      <c r="N331" s="246"/>
      <c r="O331" s="246"/>
    </row>
    <row r="332" spans="1:15" s="278" customFormat="1" ht="15.75" customHeight="1" x14ac:dyDescent="0.2">
      <c r="A332" s="246"/>
      <c r="B332" s="246"/>
      <c r="C332" s="246"/>
      <c r="D332" s="244"/>
      <c r="E332" s="35"/>
      <c r="F332" s="32"/>
      <c r="G332" s="36"/>
      <c r="H332" s="244"/>
      <c r="I332" s="246"/>
      <c r="J332" s="246"/>
      <c r="K332" s="244"/>
      <c r="L332" s="246"/>
      <c r="M332" s="246"/>
      <c r="N332" s="246"/>
      <c r="O332" s="246"/>
    </row>
    <row r="333" spans="1:15" s="278" customFormat="1" ht="15.75" customHeight="1" x14ac:dyDescent="0.2">
      <c r="A333" s="246"/>
      <c r="B333" s="246"/>
      <c r="C333" s="246"/>
      <c r="D333" s="244"/>
      <c r="E333" s="48"/>
      <c r="F333" s="47"/>
      <c r="G333" s="49"/>
      <c r="H333" s="244"/>
      <c r="I333" s="246"/>
      <c r="J333" s="246"/>
      <c r="K333" s="244"/>
      <c r="L333" s="246"/>
      <c r="M333" s="246"/>
      <c r="N333" s="246"/>
      <c r="O333" s="246"/>
    </row>
    <row r="334" spans="1:15" s="278" customFormat="1" ht="15.75" customHeight="1" x14ac:dyDescent="0.2">
      <c r="A334" s="246"/>
      <c r="B334" s="246"/>
      <c r="C334" s="246"/>
      <c r="D334" s="244"/>
      <c r="E334" s="35"/>
      <c r="F334" s="32"/>
      <c r="G334" s="36"/>
      <c r="H334" s="244"/>
      <c r="I334" s="246"/>
      <c r="J334" s="246"/>
      <c r="K334" s="244"/>
      <c r="L334" s="246"/>
      <c r="M334" s="246"/>
      <c r="N334" s="246"/>
      <c r="O334" s="246"/>
    </row>
    <row r="335" spans="1:15" s="278" customFormat="1" ht="15.75" customHeight="1" x14ac:dyDescent="0.2">
      <c r="A335" s="246"/>
      <c r="B335" s="246"/>
      <c r="C335" s="246"/>
      <c r="D335" s="244"/>
      <c r="E335" s="48"/>
      <c r="F335" s="47"/>
      <c r="G335" s="49"/>
      <c r="H335" s="244"/>
      <c r="I335" s="246"/>
      <c r="J335" s="246"/>
      <c r="K335" s="244"/>
      <c r="L335" s="246"/>
      <c r="M335" s="246"/>
      <c r="N335" s="246"/>
      <c r="O335" s="246"/>
    </row>
    <row r="336" spans="1:15" s="278" customFormat="1" ht="15.75" customHeight="1" x14ac:dyDescent="0.2">
      <c r="A336" s="246"/>
      <c r="B336" s="246"/>
      <c r="C336" s="246"/>
      <c r="D336" s="244"/>
      <c r="E336" s="35"/>
      <c r="F336" s="32"/>
      <c r="G336" s="36"/>
      <c r="H336" s="244"/>
      <c r="I336" s="246"/>
      <c r="J336" s="246"/>
      <c r="K336" s="244"/>
      <c r="L336" s="246"/>
      <c r="M336" s="246"/>
      <c r="N336" s="246"/>
      <c r="O336" s="246"/>
    </row>
    <row r="337" spans="1:15" s="278" customFormat="1" ht="15.75" customHeight="1" x14ac:dyDescent="0.2">
      <c r="A337" s="246"/>
      <c r="B337" s="246"/>
      <c r="C337" s="246"/>
      <c r="D337" s="244"/>
      <c r="E337" s="48"/>
      <c r="F337" s="47"/>
      <c r="G337" s="49"/>
      <c r="H337" s="244"/>
      <c r="I337" s="246"/>
      <c r="J337" s="246"/>
      <c r="K337" s="244"/>
      <c r="L337" s="246"/>
      <c r="M337" s="246"/>
      <c r="N337" s="246"/>
      <c r="O337" s="246"/>
    </row>
    <row r="338" spans="1:15" s="278" customFormat="1" ht="15.75" customHeight="1" x14ac:dyDescent="0.2">
      <c r="A338" s="246"/>
      <c r="B338" s="246"/>
      <c r="C338" s="246"/>
      <c r="D338" s="244"/>
      <c r="E338" s="35"/>
      <c r="F338" s="32"/>
      <c r="G338" s="36"/>
      <c r="H338" s="244"/>
      <c r="I338" s="246"/>
      <c r="J338" s="246"/>
      <c r="K338" s="244"/>
      <c r="L338" s="246"/>
      <c r="M338" s="246"/>
      <c r="N338" s="246"/>
      <c r="O338" s="246"/>
    </row>
    <row r="339" spans="1:15" s="278" customFormat="1" ht="15.75" customHeight="1" x14ac:dyDescent="0.2">
      <c r="A339" s="246"/>
      <c r="B339" s="246"/>
      <c r="C339" s="246"/>
      <c r="D339" s="244"/>
      <c r="E339" s="48"/>
      <c r="F339" s="47"/>
      <c r="G339" s="49"/>
      <c r="H339" s="244"/>
      <c r="I339" s="246"/>
      <c r="J339" s="246"/>
      <c r="K339" s="244"/>
      <c r="L339" s="246"/>
      <c r="M339" s="246"/>
      <c r="N339" s="246"/>
      <c r="O339" s="246"/>
    </row>
    <row r="340" spans="1:15" s="278" customFormat="1" ht="15.75" customHeight="1" x14ac:dyDescent="0.2">
      <c r="A340" s="246"/>
      <c r="B340" s="246"/>
      <c r="C340" s="246"/>
      <c r="D340" s="244"/>
      <c r="E340" s="35"/>
      <c r="F340" s="32"/>
      <c r="G340" s="36"/>
      <c r="H340" s="244"/>
      <c r="I340" s="246"/>
      <c r="J340" s="246"/>
      <c r="K340" s="244"/>
      <c r="L340" s="246"/>
      <c r="M340" s="246"/>
      <c r="N340" s="246"/>
      <c r="O340" s="246"/>
    </row>
    <row r="341" spans="1:15" s="278" customFormat="1" ht="15.75" customHeight="1" x14ac:dyDescent="0.2">
      <c r="A341" s="246"/>
      <c r="B341" s="246"/>
      <c r="C341" s="246"/>
      <c r="D341" s="244"/>
      <c r="E341" s="48"/>
      <c r="F341" s="47"/>
      <c r="G341" s="49"/>
      <c r="H341" s="244"/>
      <c r="I341" s="246"/>
      <c r="J341" s="246"/>
      <c r="K341" s="244"/>
      <c r="L341" s="246"/>
      <c r="M341" s="246"/>
      <c r="N341" s="246"/>
      <c r="O341" s="246"/>
    </row>
    <row r="342" spans="1:15" s="278" customFormat="1" ht="15.75" customHeight="1" x14ac:dyDescent="0.2">
      <c r="A342" s="246"/>
      <c r="B342" s="246"/>
      <c r="C342" s="246"/>
      <c r="D342" s="244"/>
      <c r="E342" s="35"/>
      <c r="F342" s="32"/>
      <c r="G342" s="36"/>
      <c r="H342" s="244"/>
      <c r="I342" s="246"/>
      <c r="J342" s="246"/>
      <c r="K342" s="244"/>
      <c r="L342" s="246"/>
      <c r="M342" s="246"/>
      <c r="N342" s="246"/>
      <c r="O342" s="246"/>
    </row>
    <row r="343" spans="1:15" s="278" customFormat="1" ht="15.75" customHeight="1" x14ac:dyDescent="0.2">
      <c r="A343" s="246"/>
      <c r="B343" s="246"/>
      <c r="C343" s="246"/>
      <c r="D343" s="244"/>
      <c r="E343" s="48"/>
      <c r="F343" s="47"/>
      <c r="G343" s="49"/>
      <c r="H343" s="244"/>
      <c r="I343" s="246"/>
      <c r="J343" s="246"/>
      <c r="K343" s="244"/>
      <c r="L343" s="246"/>
      <c r="M343" s="246"/>
      <c r="N343" s="246"/>
      <c r="O343" s="246"/>
    </row>
    <row r="344" spans="1:15" s="278" customFormat="1" ht="15.75" customHeight="1" x14ac:dyDescent="0.2">
      <c r="A344" s="246"/>
      <c r="B344" s="246"/>
      <c r="C344" s="246"/>
      <c r="D344" s="244"/>
      <c r="E344" s="35"/>
      <c r="F344" s="32"/>
      <c r="G344" s="36"/>
      <c r="H344" s="244"/>
      <c r="I344" s="246"/>
      <c r="J344" s="246"/>
      <c r="K344" s="244"/>
      <c r="L344" s="246"/>
      <c r="M344" s="246"/>
      <c r="N344" s="246"/>
      <c r="O344" s="246"/>
    </row>
    <row r="345" spans="1:15" s="278" customFormat="1" ht="15.75" customHeight="1" x14ac:dyDescent="0.2">
      <c r="A345" s="246"/>
      <c r="B345" s="246"/>
      <c r="C345" s="246"/>
      <c r="D345" s="244"/>
      <c r="E345" s="48"/>
      <c r="F345" s="47"/>
      <c r="G345" s="49"/>
      <c r="H345" s="244"/>
      <c r="I345" s="246"/>
      <c r="J345" s="246"/>
      <c r="K345" s="244"/>
      <c r="L345" s="246"/>
      <c r="M345" s="246"/>
      <c r="N345" s="246"/>
      <c r="O345" s="246"/>
    </row>
    <row r="346" spans="1:15" s="278" customFormat="1" ht="15.75" customHeight="1" x14ac:dyDescent="0.2">
      <c r="A346" s="246"/>
      <c r="B346" s="246"/>
      <c r="C346" s="246"/>
      <c r="D346" s="244"/>
      <c r="E346" s="35"/>
      <c r="F346" s="32"/>
      <c r="G346" s="36"/>
      <c r="H346" s="244"/>
      <c r="I346" s="246"/>
      <c r="J346" s="246"/>
      <c r="K346" s="244"/>
      <c r="L346" s="246"/>
      <c r="M346" s="246"/>
      <c r="N346" s="246"/>
      <c r="O346" s="246"/>
    </row>
    <row r="347" spans="1:15" s="278" customFormat="1" ht="15.75" customHeight="1" x14ac:dyDescent="0.2">
      <c r="A347" s="246"/>
      <c r="B347" s="246"/>
      <c r="C347" s="246"/>
      <c r="D347" s="244"/>
      <c r="E347" s="48"/>
      <c r="F347" s="47"/>
      <c r="G347" s="49"/>
      <c r="H347" s="244"/>
      <c r="I347" s="246"/>
      <c r="J347" s="246"/>
      <c r="K347" s="244"/>
      <c r="L347" s="246"/>
      <c r="M347" s="246"/>
      <c r="N347" s="246"/>
      <c r="O347" s="246"/>
    </row>
    <row r="348" spans="1:15" s="278" customFormat="1" ht="15.75" customHeight="1" x14ac:dyDescent="0.2">
      <c r="A348" s="246"/>
      <c r="B348" s="246"/>
      <c r="C348" s="246"/>
      <c r="D348" s="244"/>
      <c r="E348" s="35"/>
      <c r="F348" s="32"/>
      <c r="G348" s="36"/>
      <c r="H348" s="244"/>
      <c r="I348" s="246"/>
      <c r="J348" s="246"/>
      <c r="K348" s="244"/>
      <c r="L348" s="246"/>
      <c r="M348" s="246"/>
      <c r="N348" s="246"/>
      <c r="O348" s="246"/>
    </row>
    <row r="349" spans="1:15" s="278" customFormat="1" ht="15.75" customHeight="1" x14ac:dyDescent="0.2">
      <c r="A349" s="246"/>
      <c r="B349" s="246"/>
      <c r="C349" s="246"/>
      <c r="D349" s="244"/>
      <c r="E349" s="48"/>
      <c r="F349" s="47"/>
      <c r="G349" s="49"/>
      <c r="H349" s="244"/>
      <c r="I349" s="246"/>
      <c r="J349" s="246"/>
      <c r="K349" s="244"/>
      <c r="L349" s="246"/>
      <c r="M349" s="246"/>
      <c r="N349" s="246"/>
      <c r="O349" s="246"/>
    </row>
    <row r="350" spans="1:15" s="278" customFormat="1" ht="15.75" customHeight="1" x14ac:dyDescent="0.2">
      <c r="A350" s="246"/>
      <c r="B350" s="246"/>
      <c r="C350" s="246"/>
      <c r="D350" s="244"/>
      <c r="E350" s="35"/>
      <c r="F350" s="32"/>
      <c r="G350" s="36"/>
      <c r="H350" s="244"/>
      <c r="I350" s="246"/>
      <c r="J350" s="246"/>
      <c r="K350" s="244"/>
      <c r="L350" s="246"/>
      <c r="M350" s="246"/>
      <c r="N350" s="246"/>
      <c r="O350" s="246"/>
    </row>
    <row r="351" spans="1:15" s="278" customFormat="1" ht="15.75" customHeight="1" x14ac:dyDescent="0.2">
      <c r="A351" s="246"/>
      <c r="B351" s="246"/>
      <c r="C351" s="246"/>
      <c r="D351" s="244"/>
      <c r="E351" s="48"/>
      <c r="F351" s="47"/>
      <c r="G351" s="49"/>
      <c r="H351" s="244"/>
      <c r="I351" s="246"/>
      <c r="J351" s="246"/>
      <c r="K351" s="244"/>
      <c r="L351" s="246"/>
      <c r="M351" s="246"/>
      <c r="N351" s="246"/>
      <c r="O351" s="246"/>
    </row>
    <row r="352" spans="1:15" s="278" customFormat="1" ht="15.75" customHeight="1" x14ac:dyDescent="0.2">
      <c r="A352" s="246"/>
      <c r="B352" s="246"/>
      <c r="C352" s="246"/>
      <c r="D352" s="244"/>
      <c r="E352" s="35"/>
      <c r="F352" s="32"/>
      <c r="G352" s="36"/>
      <c r="H352" s="244"/>
      <c r="I352" s="246"/>
      <c r="J352" s="246"/>
      <c r="K352" s="244"/>
      <c r="L352" s="246"/>
      <c r="M352" s="246"/>
      <c r="N352" s="246"/>
      <c r="O352" s="246"/>
    </row>
    <row r="353" spans="1:15" s="278" customFormat="1" ht="15.75" customHeight="1" x14ac:dyDescent="0.2">
      <c r="A353" s="246"/>
      <c r="B353" s="246"/>
      <c r="C353" s="246"/>
      <c r="D353" s="244"/>
      <c r="E353" s="48"/>
      <c r="F353" s="47"/>
      <c r="G353" s="49"/>
      <c r="H353" s="244"/>
      <c r="I353" s="246"/>
      <c r="J353" s="246"/>
      <c r="K353" s="244"/>
      <c r="L353" s="246"/>
      <c r="M353" s="246"/>
      <c r="N353" s="246"/>
      <c r="O353" s="246"/>
    </row>
    <row r="354" spans="1:15" s="278" customFormat="1" ht="15.75" customHeight="1" x14ac:dyDescent="0.2">
      <c r="A354" s="246"/>
      <c r="B354" s="246"/>
      <c r="C354" s="246"/>
      <c r="D354" s="244"/>
      <c r="E354" s="35"/>
      <c r="F354" s="32"/>
      <c r="G354" s="36"/>
      <c r="H354" s="244"/>
      <c r="I354" s="246"/>
      <c r="J354" s="246"/>
      <c r="K354" s="244"/>
      <c r="L354" s="246"/>
      <c r="M354" s="246"/>
      <c r="N354" s="246"/>
      <c r="O354" s="246"/>
    </row>
    <row r="355" spans="1:15" s="278" customFormat="1" ht="15.75" customHeight="1" x14ac:dyDescent="0.2">
      <c r="A355" s="246"/>
      <c r="B355" s="246"/>
      <c r="C355" s="246"/>
      <c r="D355" s="244"/>
      <c r="E355" s="48"/>
      <c r="F355" s="47"/>
      <c r="G355" s="49"/>
      <c r="H355" s="244"/>
      <c r="I355" s="246"/>
      <c r="J355" s="246"/>
      <c r="K355" s="244"/>
      <c r="L355" s="246"/>
      <c r="M355" s="246"/>
      <c r="N355" s="246"/>
      <c r="O355" s="246"/>
    </row>
    <row r="356" spans="1:15" s="278" customFormat="1" ht="15.75" customHeight="1" x14ac:dyDescent="0.2">
      <c r="A356" s="246"/>
      <c r="B356" s="246"/>
      <c r="C356" s="246"/>
      <c r="D356" s="244"/>
      <c r="E356" s="35"/>
      <c r="F356" s="32"/>
      <c r="G356" s="36"/>
      <c r="H356" s="244"/>
      <c r="I356" s="246"/>
      <c r="J356" s="246"/>
      <c r="K356" s="244"/>
      <c r="L356" s="246"/>
      <c r="M356" s="246"/>
      <c r="N356" s="246"/>
      <c r="O356" s="246"/>
    </row>
    <row r="357" spans="1:15" s="278" customFormat="1" ht="15.75" customHeight="1" x14ac:dyDescent="0.2">
      <c r="A357" s="246"/>
      <c r="B357" s="246"/>
      <c r="C357" s="246"/>
      <c r="D357" s="244"/>
      <c r="E357" s="48"/>
      <c r="F357" s="47"/>
      <c r="G357" s="49"/>
      <c r="H357" s="244"/>
      <c r="I357" s="246"/>
      <c r="J357" s="246"/>
      <c r="K357" s="244"/>
      <c r="L357" s="246"/>
      <c r="M357" s="246"/>
      <c r="N357" s="246"/>
      <c r="O357" s="246"/>
    </row>
    <row r="358" spans="1:15" s="278" customFormat="1" ht="15.75" customHeight="1" x14ac:dyDescent="0.2">
      <c r="A358" s="246"/>
      <c r="B358" s="246"/>
      <c r="C358" s="246"/>
      <c r="D358" s="244"/>
      <c r="E358" s="35"/>
      <c r="F358" s="32"/>
      <c r="G358" s="36"/>
      <c r="H358" s="244"/>
      <c r="I358" s="246"/>
      <c r="J358" s="246"/>
      <c r="K358" s="244"/>
      <c r="L358" s="246"/>
      <c r="M358" s="246"/>
      <c r="N358" s="246"/>
      <c r="O358" s="246"/>
    </row>
    <row r="359" spans="1:15" s="278" customFormat="1" ht="15.75" customHeight="1" x14ac:dyDescent="0.2">
      <c r="A359" s="246"/>
      <c r="B359" s="246"/>
      <c r="C359" s="246"/>
      <c r="D359" s="244"/>
      <c r="E359" s="48"/>
      <c r="F359" s="47"/>
      <c r="G359" s="49"/>
      <c r="H359" s="244"/>
      <c r="I359" s="246"/>
      <c r="J359" s="246"/>
      <c r="K359" s="244"/>
      <c r="L359" s="246"/>
      <c r="M359" s="246"/>
      <c r="N359" s="246"/>
      <c r="O359" s="246"/>
    </row>
    <row r="360" spans="1:15" s="278" customFormat="1" ht="15.75" customHeight="1" x14ac:dyDescent="0.2">
      <c r="A360" s="246"/>
      <c r="B360" s="246"/>
      <c r="C360" s="246"/>
      <c r="D360" s="244"/>
      <c r="E360" s="35"/>
      <c r="F360" s="32"/>
      <c r="G360" s="36"/>
      <c r="H360" s="244"/>
      <c r="I360" s="246"/>
      <c r="J360" s="246"/>
      <c r="K360" s="244"/>
      <c r="L360" s="246"/>
      <c r="M360" s="246"/>
      <c r="N360" s="246"/>
      <c r="O360" s="246"/>
    </row>
    <row r="361" spans="1:15" s="278" customFormat="1" ht="15.75" customHeight="1" x14ac:dyDescent="0.2">
      <c r="A361" s="246"/>
      <c r="B361" s="246"/>
      <c r="C361" s="246"/>
      <c r="D361" s="244"/>
      <c r="E361" s="48"/>
      <c r="F361" s="47"/>
      <c r="G361" s="49"/>
      <c r="H361" s="244"/>
      <c r="I361" s="246"/>
      <c r="J361" s="246"/>
      <c r="K361" s="244"/>
      <c r="L361" s="246"/>
      <c r="M361" s="246"/>
      <c r="N361" s="246"/>
      <c r="O361" s="246"/>
    </row>
    <row r="362" spans="1:15" s="278" customFormat="1" ht="15.75" customHeight="1" x14ac:dyDescent="0.2">
      <c r="A362" s="246"/>
      <c r="B362" s="246"/>
      <c r="C362" s="246"/>
      <c r="D362" s="244"/>
      <c r="E362" s="35"/>
      <c r="F362" s="32"/>
      <c r="G362" s="36"/>
      <c r="H362" s="244"/>
      <c r="I362" s="246"/>
      <c r="J362" s="246"/>
      <c r="K362" s="244"/>
      <c r="L362" s="246"/>
      <c r="M362" s="246"/>
      <c r="N362" s="246"/>
      <c r="O362" s="246"/>
    </row>
    <row r="363" spans="1:15" s="278" customFormat="1" ht="15.75" customHeight="1" x14ac:dyDescent="0.2">
      <c r="A363" s="246"/>
      <c r="B363" s="246"/>
      <c r="C363" s="246"/>
      <c r="D363" s="244"/>
      <c r="E363" s="48"/>
      <c r="F363" s="47"/>
      <c r="G363" s="49"/>
      <c r="H363" s="244"/>
      <c r="I363" s="246"/>
      <c r="J363" s="246"/>
      <c r="K363" s="244"/>
      <c r="L363" s="246"/>
      <c r="M363" s="246"/>
      <c r="N363" s="246"/>
      <c r="O363" s="246"/>
    </row>
    <row r="364" spans="1:15" s="278" customFormat="1" ht="15.75" customHeight="1" x14ac:dyDescent="0.2">
      <c r="A364" s="246"/>
      <c r="B364" s="246"/>
      <c r="C364" s="246"/>
      <c r="D364" s="244"/>
      <c r="E364" s="35"/>
      <c r="F364" s="32"/>
      <c r="G364" s="36"/>
      <c r="H364" s="244"/>
      <c r="I364" s="246"/>
      <c r="J364" s="246"/>
      <c r="K364" s="244"/>
      <c r="L364" s="246"/>
      <c r="M364" s="246"/>
      <c r="N364" s="246"/>
      <c r="O364" s="246"/>
    </row>
    <row r="365" spans="1:15" s="278" customFormat="1" ht="15.75" customHeight="1" x14ac:dyDescent="0.2">
      <c r="A365" s="246"/>
      <c r="B365" s="246"/>
      <c r="C365" s="246"/>
      <c r="D365" s="244"/>
      <c r="E365" s="48"/>
      <c r="F365" s="47"/>
      <c r="G365" s="49"/>
      <c r="H365" s="244"/>
      <c r="I365" s="246"/>
      <c r="J365" s="246"/>
      <c r="K365" s="244"/>
      <c r="L365" s="246"/>
      <c r="M365" s="246"/>
      <c r="N365" s="246"/>
      <c r="O365" s="246"/>
    </row>
    <row r="366" spans="1:15" s="278" customFormat="1" ht="15.75" customHeight="1" x14ac:dyDescent="0.2">
      <c r="A366" s="246"/>
      <c r="B366" s="246"/>
      <c r="C366" s="246"/>
      <c r="D366" s="244"/>
      <c r="E366" s="35"/>
      <c r="F366" s="32"/>
      <c r="G366" s="36"/>
      <c r="H366" s="244"/>
      <c r="I366" s="246"/>
      <c r="J366" s="246"/>
      <c r="K366" s="244"/>
      <c r="L366" s="246"/>
      <c r="M366" s="246"/>
      <c r="N366" s="246"/>
      <c r="O366" s="246"/>
    </row>
    <row r="367" spans="1:15" s="278" customFormat="1" ht="15.75" customHeight="1" x14ac:dyDescent="0.2">
      <c r="A367" s="246"/>
      <c r="B367" s="246"/>
      <c r="C367" s="246"/>
      <c r="D367" s="244"/>
      <c r="E367" s="48"/>
      <c r="F367" s="47"/>
      <c r="G367" s="49"/>
      <c r="H367" s="244"/>
      <c r="I367" s="246"/>
      <c r="J367" s="246"/>
      <c r="K367" s="244"/>
      <c r="L367" s="246"/>
      <c r="M367" s="246"/>
      <c r="N367" s="246"/>
      <c r="O367" s="246"/>
    </row>
    <row r="368" spans="1:15" s="278" customFormat="1" ht="15.75" customHeight="1" x14ac:dyDescent="0.2">
      <c r="A368" s="246"/>
      <c r="B368" s="246"/>
      <c r="C368" s="246"/>
      <c r="D368" s="244"/>
      <c r="E368" s="35"/>
      <c r="F368" s="32"/>
      <c r="G368" s="36"/>
      <c r="H368" s="244"/>
      <c r="K368" s="244"/>
      <c r="O368" s="246"/>
    </row>
    <row r="369" spans="1:15" s="278" customFormat="1" ht="15.75" customHeight="1" x14ac:dyDescent="0.2">
      <c r="A369" s="246"/>
      <c r="B369" s="246"/>
      <c r="C369" s="246"/>
      <c r="D369" s="244"/>
      <c r="E369" s="48"/>
      <c r="F369" s="47"/>
      <c r="G369" s="49"/>
      <c r="H369" s="244"/>
      <c r="K369" s="244"/>
      <c r="O369" s="246"/>
    </row>
    <row r="370" spans="1:15" s="278" customFormat="1" ht="15.75" customHeight="1" x14ac:dyDescent="0.2">
      <c r="A370" s="246"/>
      <c r="B370" s="246"/>
      <c r="C370" s="246"/>
      <c r="D370" s="244"/>
      <c r="E370" s="35"/>
      <c r="F370" s="32"/>
      <c r="G370" s="36"/>
      <c r="H370" s="244"/>
      <c r="K370" s="244"/>
      <c r="O370" s="246"/>
    </row>
    <row r="371" spans="1:15" s="278" customFormat="1" ht="15.75" customHeight="1" x14ac:dyDescent="0.2">
      <c r="A371" s="246"/>
      <c r="B371" s="246"/>
      <c r="C371" s="246"/>
      <c r="D371" s="244"/>
      <c r="E371" s="48"/>
      <c r="F371" s="47"/>
      <c r="G371" s="49"/>
      <c r="H371" s="244"/>
      <c r="K371" s="244"/>
      <c r="O371" s="246"/>
    </row>
    <row r="372" spans="1:15" s="278" customFormat="1" ht="15.75" customHeight="1" x14ac:dyDescent="0.2">
      <c r="A372" s="246"/>
      <c r="B372" s="246"/>
      <c r="C372" s="246"/>
      <c r="D372" s="244"/>
      <c r="E372" s="35"/>
      <c r="F372" s="32"/>
      <c r="G372" s="36"/>
      <c r="H372" s="244"/>
      <c r="K372" s="244"/>
      <c r="O372" s="246"/>
    </row>
    <row r="373" spans="1:15" s="278" customFormat="1" ht="15.75" customHeight="1" x14ac:dyDescent="0.2">
      <c r="A373" s="246"/>
      <c r="B373" s="246"/>
      <c r="C373" s="246"/>
      <c r="D373" s="244"/>
      <c r="E373" s="48"/>
      <c r="F373" s="47"/>
      <c r="G373" s="49"/>
      <c r="H373" s="244"/>
      <c r="K373" s="244"/>
      <c r="O373" s="246"/>
    </row>
    <row r="374" spans="1:15" s="278" customFormat="1" ht="15.75" customHeight="1" x14ac:dyDescent="0.2">
      <c r="A374" s="246"/>
      <c r="B374" s="246"/>
      <c r="C374" s="246"/>
      <c r="D374" s="244"/>
      <c r="E374" s="35"/>
      <c r="F374" s="32"/>
      <c r="G374" s="36"/>
      <c r="H374" s="244"/>
      <c r="K374" s="244"/>
      <c r="O374" s="246"/>
    </row>
    <row r="375" spans="1:15" s="278" customFormat="1" ht="15.75" customHeight="1" x14ac:dyDescent="0.2">
      <c r="A375" s="246"/>
      <c r="B375" s="246"/>
      <c r="C375" s="246"/>
      <c r="D375" s="244"/>
      <c r="E375" s="48"/>
      <c r="F375" s="47"/>
      <c r="G375" s="49"/>
      <c r="H375" s="244"/>
      <c r="K375" s="244"/>
      <c r="O375" s="246"/>
    </row>
    <row r="376" spans="1:15" s="278" customFormat="1" ht="15.75" customHeight="1" x14ac:dyDescent="0.2">
      <c r="A376" s="246"/>
      <c r="B376" s="246"/>
      <c r="C376" s="246"/>
      <c r="D376" s="244"/>
      <c r="E376" s="35"/>
      <c r="F376" s="32"/>
      <c r="G376" s="36"/>
      <c r="H376" s="244"/>
      <c r="K376" s="244"/>
      <c r="O376" s="246"/>
    </row>
    <row r="377" spans="1:15" s="278" customFormat="1" ht="15.75" customHeight="1" x14ac:dyDescent="0.2">
      <c r="A377" s="246"/>
      <c r="B377" s="246"/>
      <c r="C377" s="246"/>
      <c r="D377" s="244"/>
      <c r="E377" s="48"/>
      <c r="F377" s="47"/>
      <c r="G377" s="49"/>
      <c r="H377" s="244"/>
      <c r="K377" s="244"/>
      <c r="O377" s="246"/>
    </row>
    <row r="378" spans="1:15" s="278" customFormat="1" ht="15.75" customHeight="1" x14ac:dyDescent="0.2">
      <c r="A378" s="246"/>
      <c r="B378" s="246"/>
      <c r="C378" s="246"/>
      <c r="D378" s="244"/>
      <c r="E378" s="35"/>
      <c r="F378" s="32"/>
      <c r="G378" s="36"/>
      <c r="H378" s="244"/>
      <c r="K378" s="244"/>
      <c r="O378" s="246"/>
    </row>
    <row r="379" spans="1:15" s="278" customFormat="1" ht="15.75" customHeight="1" x14ac:dyDescent="0.2">
      <c r="A379" s="246"/>
      <c r="B379" s="246"/>
      <c r="C379" s="246"/>
      <c r="D379" s="244"/>
      <c r="E379" s="48"/>
      <c r="F379" s="47"/>
      <c r="G379" s="49"/>
      <c r="H379" s="244"/>
      <c r="K379" s="244"/>
      <c r="O379" s="246"/>
    </row>
    <row r="380" spans="1:15" s="278" customFormat="1" ht="15.75" customHeight="1" x14ac:dyDescent="0.2">
      <c r="A380" s="246"/>
      <c r="B380" s="246"/>
      <c r="C380" s="246"/>
      <c r="D380" s="244"/>
      <c r="E380" s="35"/>
      <c r="F380" s="32"/>
      <c r="G380" s="36"/>
      <c r="H380" s="244"/>
      <c r="K380" s="244"/>
      <c r="O380" s="246"/>
    </row>
    <row r="381" spans="1:15" s="278" customFormat="1" ht="15.75" customHeight="1" x14ac:dyDescent="0.2">
      <c r="A381" s="246"/>
      <c r="B381" s="246"/>
      <c r="C381" s="246"/>
      <c r="D381" s="244"/>
      <c r="E381" s="48"/>
      <c r="F381" s="47"/>
      <c r="G381" s="49"/>
      <c r="H381" s="244"/>
      <c r="K381" s="244"/>
      <c r="O381" s="246"/>
    </row>
    <row r="382" spans="1:15" s="278" customFormat="1" ht="15.75" customHeight="1" x14ac:dyDescent="0.2">
      <c r="A382" s="246"/>
      <c r="B382" s="246"/>
      <c r="C382" s="246"/>
      <c r="D382" s="244"/>
      <c r="E382" s="35"/>
      <c r="F382" s="32"/>
      <c r="G382" s="36"/>
      <c r="H382" s="244"/>
      <c r="K382" s="244"/>
      <c r="O382" s="246"/>
    </row>
    <row r="383" spans="1:15" s="278" customFormat="1" ht="15.75" customHeight="1" x14ac:dyDescent="0.2">
      <c r="A383" s="246"/>
      <c r="B383" s="246"/>
      <c r="C383" s="246"/>
      <c r="D383" s="244"/>
      <c r="E383" s="48"/>
      <c r="F383" s="47"/>
      <c r="G383" s="49"/>
      <c r="H383" s="244"/>
      <c r="K383" s="244"/>
      <c r="O383" s="246"/>
    </row>
    <row r="384" spans="1:15" s="278" customFormat="1" ht="15.75" customHeight="1" x14ac:dyDescent="0.2">
      <c r="A384" s="246"/>
      <c r="B384" s="246"/>
      <c r="C384" s="246"/>
      <c r="D384" s="244"/>
      <c r="E384" s="35"/>
      <c r="F384" s="32"/>
      <c r="G384" s="36"/>
      <c r="H384" s="244"/>
      <c r="K384" s="244"/>
      <c r="O384" s="246"/>
    </row>
    <row r="385" spans="1:15" s="278" customFormat="1" ht="15.75" customHeight="1" x14ac:dyDescent="0.2">
      <c r="A385" s="246"/>
      <c r="B385" s="246"/>
      <c r="C385" s="246"/>
      <c r="D385" s="244"/>
      <c r="E385" s="48"/>
      <c r="F385" s="47"/>
      <c r="G385" s="49"/>
      <c r="H385" s="244"/>
      <c r="K385" s="244"/>
      <c r="O385" s="246"/>
    </row>
    <row r="386" spans="1:15" s="278" customFormat="1" ht="15.75" customHeight="1" x14ac:dyDescent="0.2">
      <c r="A386" s="246"/>
      <c r="B386" s="246"/>
      <c r="C386" s="246"/>
      <c r="D386" s="244"/>
      <c r="E386" s="35"/>
      <c r="F386" s="32"/>
      <c r="G386" s="36"/>
      <c r="H386" s="244"/>
      <c r="K386" s="244"/>
      <c r="O386" s="246"/>
    </row>
    <row r="387" spans="1:15" s="278" customFormat="1" ht="15.75" customHeight="1" x14ac:dyDescent="0.2">
      <c r="A387" s="246"/>
      <c r="B387" s="246"/>
      <c r="C387" s="246"/>
      <c r="D387" s="244"/>
      <c r="E387" s="48"/>
      <c r="F387" s="47"/>
      <c r="G387" s="49"/>
      <c r="H387" s="244"/>
      <c r="K387" s="244"/>
      <c r="O387" s="246"/>
    </row>
    <row r="388" spans="1:15" s="278" customFormat="1" ht="15.75" customHeight="1" x14ac:dyDescent="0.2">
      <c r="A388" s="246"/>
      <c r="B388" s="246"/>
      <c r="C388" s="246"/>
      <c r="D388" s="244"/>
      <c r="E388" s="35"/>
      <c r="F388" s="32"/>
      <c r="G388" s="36"/>
      <c r="H388" s="244"/>
      <c r="K388" s="244"/>
      <c r="O388" s="246"/>
    </row>
    <row r="389" spans="1:15" s="278" customFormat="1" ht="15.75" customHeight="1" x14ac:dyDescent="0.2">
      <c r="A389" s="246"/>
      <c r="B389" s="246"/>
      <c r="C389" s="246"/>
      <c r="D389" s="244"/>
      <c r="E389" s="48"/>
      <c r="F389" s="47"/>
      <c r="G389" s="49"/>
      <c r="H389" s="244"/>
      <c r="K389" s="244"/>
      <c r="O389" s="246"/>
    </row>
    <row r="390" spans="1:15" s="278" customFormat="1" ht="15.75" customHeight="1" x14ac:dyDescent="0.2">
      <c r="A390" s="246"/>
      <c r="B390" s="246"/>
      <c r="C390" s="246"/>
      <c r="D390" s="244"/>
      <c r="E390" s="35"/>
      <c r="F390" s="32"/>
      <c r="G390" s="36"/>
      <c r="H390" s="244"/>
      <c r="K390" s="244"/>
      <c r="O390" s="246"/>
    </row>
    <row r="391" spans="1:15" s="278" customFormat="1" ht="15.75" customHeight="1" x14ac:dyDescent="0.2">
      <c r="A391" s="246"/>
      <c r="B391" s="246"/>
      <c r="C391" s="246"/>
      <c r="D391" s="244"/>
      <c r="E391" s="48"/>
      <c r="F391" s="47"/>
      <c r="G391" s="49"/>
      <c r="H391" s="244"/>
      <c r="K391" s="244"/>
      <c r="O391" s="246"/>
    </row>
    <row r="392" spans="1:15" s="278" customFormat="1" ht="15.75" customHeight="1" x14ac:dyDescent="0.2">
      <c r="A392" s="246"/>
      <c r="B392" s="246"/>
      <c r="C392" s="246"/>
      <c r="D392" s="244"/>
      <c r="E392" s="35"/>
      <c r="F392" s="32"/>
      <c r="G392" s="36"/>
      <c r="H392" s="244"/>
      <c r="K392" s="244"/>
      <c r="O392" s="246"/>
    </row>
    <row r="393" spans="1:15" s="278" customFormat="1" ht="15.75" customHeight="1" x14ac:dyDescent="0.2">
      <c r="A393" s="246"/>
      <c r="B393" s="246"/>
      <c r="C393" s="246"/>
      <c r="D393" s="244"/>
      <c r="E393" s="48"/>
      <c r="F393" s="47"/>
      <c r="G393" s="49"/>
      <c r="H393" s="244"/>
      <c r="K393" s="244"/>
      <c r="O393" s="246"/>
    </row>
    <row r="394" spans="1:15" s="278" customFormat="1" ht="15.75" customHeight="1" x14ac:dyDescent="0.2">
      <c r="A394" s="246"/>
      <c r="B394" s="246"/>
      <c r="C394" s="246"/>
      <c r="D394" s="244"/>
      <c r="E394" s="35"/>
      <c r="F394" s="32"/>
      <c r="G394" s="36"/>
      <c r="H394" s="244"/>
      <c r="K394" s="244"/>
      <c r="O394" s="246"/>
    </row>
    <row r="395" spans="1:15" s="278" customFormat="1" ht="15.75" customHeight="1" x14ac:dyDescent="0.2">
      <c r="A395" s="246"/>
      <c r="B395" s="246"/>
      <c r="C395" s="246"/>
      <c r="D395" s="244"/>
      <c r="E395" s="48"/>
      <c r="F395" s="47"/>
      <c r="G395" s="49"/>
      <c r="H395" s="244"/>
      <c r="K395" s="244"/>
      <c r="O395" s="246"/>
    </row>
    <row r="396" spans="1:15" s="278" customFormat="1" ht="15.75" customHeight="1" x14ac:dyDescent="0.2">
      <c r="A396" s="246"/>
      <c r="B396" s="246"/>
      <c r="C396" s="246"/>
      <c r="D396" s="244"/>
      <c r="E396" s="35"/>
      <c r="F396" s="32"/>
      <c r="G396" s="36"/>
      <c r="H396" s="244"/>
      <c r="K396" s="244"/>
      <c r="O396" s="246"/>
    </row>
    <row r="397" spans="1:15" s="278" customFormat="1" ht="15.75" customHeight="1" x14ac:dyDescent="0.2">
      <c r="A397" s="246"/>
      <c r="B397" s="246"/>
      <c r="C397" s="246"/>
      <c r="D397" s="244"/>
      <c r="E397" s="48"/>
      <c r="F397" s="47"/>
      <c r="G397" s="49"/>
      <c r="H397" s="244"/>
      <c r="K397" s="244"/>
      <c r="O397" s="246"/>
    </row>
    <row r="398" spans="1:15" s="278" customFormat="1" ht="15.75" customHeight="1" x14ac:dyDescent="0.2">
      <c r="A398" s="246"/>
      <c r="B398" s="246"/>
      <c r="C398" s="246"/>
      <c r="D398" s="244"/>
      <c r="E398" s="35"/>
      <c r="F398" s="32"/>
      <c r="G398" s="36"/>
      <c r="H398" s="244"/>
      <c r="K398" s="244"/>
      <c r="O398" s="246"/>
    </row>
    <row r="399" spans="1:15" s="278" customFormat="1" ht="15.75" customHeight="1" x14ac:dyDescent="0.2">
      <c r="A399" s="246"/>
      <c r="B399" s="246"/>
      <c r="C399" s="246"/>
      <c r="D399" s="244"/>
      <c r="E399" s="48"/>
      <c r="F399" s="47"/>
      <c r="G399" s="49"/>
      <c r="H399" s="244"/>
      <c r="K399" s="244"/>
      <c r="O399" s="246"/>
    </row>
    <row r="400" spans="1:15" s="278" customFormat="1" ht="15.75" customHeight="1" x14ac:dyDescent="0.2">
      <c r="A400" s="246"/>
      <c r="B400" s="246"/>
      <c r="C400" s="246"/>
      <c r="D400" s="244"/>
      <c r="E400" s="35"/>
      <c r="F400" s="32"/>
      <c r="G400" s="36"/>
      <c r="H400" s="244"/>
      <c r="K400" s="244"/>
      <c r="O400" s="246"/>
    </row>
    <row r="401" spans="1:15" s="278" customFormat="1" ht="15.75" customHeight="1" x14ac:dyDescent="0.2">
      <c r="A401" s="246"/>
      <c r="B401" s="246"/>
      <c r="C401" s="246"/>
      <c r="D401" s="244"/>
      <c r="E401" s="48"/>
      <c r="F401" s="47"/>
      <c r="G401" s="49"/>
      <c r="H401" s="244"/>
      <c r="K401" s="244"/>
      <c r="O401" s="246"/>
    </row>
    <row r="402" spans="1:15" s="278" customFormat="1" ht="15.75" customHeight="1" x14ac:dyDescent="0.2">
      <c r="A402" s="246"/>
      <c r="B402" s="246"/>
      <c r="C402" s="246"/>
      <c r="D402" s="244"/>
      <c r="E402" s="35"/>
      <c r="F402" s="32"/>
      <c r="G402" s="36"/>
      <c r="H402" s="244"/>
      <c r="K402" s="244"/>
      <c r="O402" s="246"/>
    </row>
    <row r="403" spans="1:15" s="278" customFormat="1" ht="15.75" customHeight="1" x14ac:dyDescent="0.2">
      <c r="A403" s="246"/>
      <c r="B403" s="246"/>
      <c r="C403" s="246"/>
      <c r="D403" s="244"/>
      <c r="E403" s="48"/>
      <c r="F403" s="47"/>
      <c r="G403" s="49"/>
      <c r="H403" s="244"/>
      <c r="K403" s="244"/>
      <c r="O403" s="246"/>
    </row>
    <row r="404" spans="1:15" s="278" customFormat="1" ht="15.75" customHeight="1" x14ac:dyDescent="0.2">
      <c r="A404" s="246"/>
      <c r="B404" s="246"/>
      <c r="C404" s="246"/>
      <c r="D404" s="244"/>
      <c r="E404" s="35"/>
      <c r="F404" s="32"/>
      <c r="G404" s="36"/>
      <c r="H404" s="244"/>
      <c r="K404" s="244"/>
      <c r="O404" s="246"/>
    </row>
    <row r="405" spans="1:15" s="278" customFormat="1" ht="15.75" customHeight="1" x14ac:dyDescent="0.2">
      <c r="A405" s="246"/>
      <c r="B405" s="246"/>
      <c r="C405" s="246"/>
      <c r="D405" s="244"/>
      <c r="E405" s="48"/>
      <c r="F405" s="47"/>
      <c r="G405" s="49"/>
      <c r="H405" s="244"/>
      <c r="K405" s="244"/>
      <c r="O405" s="246"/>
    </row>
    <row r="406" spans="1:15" s="278" customFormat="1" ht="15.75" customHeight="1" x14ac:dyDescent="0.2">
      <c r="A406" s="246"/>
      <c r="B406" s="246"/>
      <c r="C406" s="246"/>
      <c r="D406" s="244"/>
      <c r="E406" s="35"/>
      <c r="F406" s="32"/>
      <c r="G406" s="36"/>
      <c r="H406" s="244"/>
      <c r="K406" s="244"/>
      <c r="O406" s="246"/>
    </row>
    <row r="407" spans="1:15" s="278" customFormat="1" ht="15.75" customHeight="1" x14ac:dyDescent="0.2">
      <c r="A407" s="246"/>
      <c r="B407" s="246"/>
      <c r="C407" s="246"/>
      <c r="D407" s="244"/>
      <c r="E407" s="48"/>
      <c r="F407" s="47"/>
      <c r="G407" s="49"/>
      <c r="H407" s="244"/>
      <c r="K407" s="244"/>
      <c r="O407" s="246"/>
    </row>
    <row r="408" spans="1:15" s="278" customFormat="1" ht="15.75" customHeight="1" x14ac:dyDescent="0.2">
      <c r="A408" s="246"/>
      <c r="B408" s="246"/>
      <c r="C408" s="246"/>
      <c r="D408" s="244"/>
      <c r="E408" s="35"/>
      <c r="F408" s="32"/>
      <c r="G408" s="36"/>
      <c r="H408" s="244"/>
      <c r="K408" s="244"/>
      <c r="O408" s="246"/>
    </row>
    <row r="409" spans="1:15" s="278" customFormat="1" ht="15.75" customHeight="1" x14ac:dyDescent="0.2">
      <c r="A409" s="246"/>
      <c r="B409" s="246"/>
      <c r="C409" s="246"/>
      <c r="D409" s="244"/>
      <c r="E409" s="48"/>
      <c r="F409" s="47"/>
      <c r="G409" s="49"/>
      <c r="H409" s="244"/>
      <c r="K409" s="244"/>
      <c r="O409" s="246"/>
    </row>
    <row r="410" spans="1:15" s="278" customFormat="1" ht="15.75" customHeight="1" x14ac:dyDescent="0.2">
      <c r="A410" s="246"/>
      <c r="B410" s="246"/>
      <c r="C410" s="246"/>
      <c r="D410" s="244"/>
      <c r="E410" s="35"/>
      <c r="F410" s="32"/>
      <c r="G410" s="36"/>
      <c r="H410" s="244"/>
      <c r="K410" s="244"/>
      <c r="O410" s="246"/>
    </row>
    <row r="411" spans="1:15" s="278" customFormat="1" ht="15.75" customHeight="1" x14ac:dyDescent="0.2">
      <c r="A411" s="246"/>
      <c r="B411" s="246"/>
      <c r="C411" s="246"/>
      <c r="D411" s="244"/>
      <c r="E411" s="48"/>
      <c r="F411" s="47"/>
      <c r="G411" s="49"/>
      <c r="H411" s="244"/>
      <c r="K411" s="244"/>
      <c r="O411" s="246"/>
    </row>
    <row r="412" spans="1:15" s="278" customFormat="1" ht="15.75" customHeight="1" x14ac:dyDescent="0.2">
      <c r="A412" s="246"/>
      <c r="B412" s="246"/>
      <c r="C412" s="246"/>
      <c r="D412" s="244"/>
      <c r="E412" s="35"/>
      <c r="F412" s="32"/>
      <c r="G412" s="36"/>
      <c r="H412" s="244"/>
      <c r="K412" s="244"/>
      <c r="O412" s="246"/>
    </row>
    <row r="413" spans="1:15" s="278" customFormat="1" ht="15.75" customHeight="1" x14ac:dyDescent="0.2">
      <c r="A413" s="246"/>
      <c r="B413" s="246"/>
      <c r="C413" s="246"/>
      <c r="D413" s="244"/>
      <c r="E413" s="48"/>
      <c r="F413" s="47"/>
      <c r="G413" s="49"/>
      <c r="H413" s="244"/>
      <c r="K413" s="244"/>
      <c r="O413" s="246"/>
    </row>
    <row r="414" spans="1:15" s="278" customFormat="1" ht="15.75" customHeight="1" x14ac:dyDescent="0.2">
      <c r="A414" s="246"/>
      <c r="B414" s="246"/>
      <c r="C414" s="246"/>
      <c r="D414" s="244"/>
      <c r="E414" s="35"/>
      <c r="F414" s="32"/>
      <c r="G414" s="36"/>
      <c r="H414" s="244"/>
      <c r="K414" s="244"/>
      <c r="O414" s="246"/>
    </row>
    <row r="415" spans="1:15" s="278" customFormat="1" ht="15.75" customHeight="1" x14ac:dyDescent="0.2">
      <c r="A415" s="246"/>
      <c r="B415" s="246"/>
      <c r="C415" s="246"/>
      <c r="D415" s="244"/>
      <c r="E415" s="48"/>
      <c r="F415" s="47"/>
      <c r="G415" s="49"/>
      <c r="H415" s="244"/>
      <c r="K415" s="244"/>
      <c r="O415" s="246"/>
    </row>
    <row r="416" spans="1:15" s="278" customFormat="1" ht="15.75" customHeight="1" x14ac:dyDescent="0.2">
      <c r="A416" s="246"/>
      <c r="B416" s="246"/>
      <c r="C416" s="246"/>
      <c r="D416" s="244"/>
      <c r="E416" s="35"/>
      <c r="F416" s="32"/>
      <c r="G416" s="36"/>
      <c r="H416" s="244"/>
      <c r="K416" s="244"/>
      <c r="O416" s="246"/>
    </row>
    <row r="417" spans="1:15" s="278" customFormat="1" ht="15.75" customHeight="1" x14ac:dyDescent="0.2">
      <c r="A417" s="246"/>
      <c r="B417" s="246"/>
      <c r="C417" s="246"/>
      <c r="D417" s="244"/>
      <c r="E417" s="48"/>
      <c r="F417" s="47"/>
      <c r="G417" s="49"/>
      <c r="H417" s="244"/>
      <c r="K417" s="244"/>
      <c r="O417" s="246"/>
    </row>
    <row r="418" spans="1:15" s="278" customFormat="1" ht="15.75" customHeight="1" x14ac:dyDescent="0.2">
      <c r="A418" s="246"/>
      <c r="B418" s="246"/>
      <c r="C418" s="246"/>
      <c r="D418" s="244"/>
      <c r="E418" s="35"/>
      <c r="F418" s="32"/>
      <c r="G418" s="36"/>
      <c r="H418" s="244"/>
      <c r="K418" s="244"/>
      <c r="O418" s="246"/>
    </row>
    <row r="419" spans="1:15" s="278" customFormat="1" ht="15.75" customHeight="1" x14ac:dyDescent="0.2">
      <c r="A419" s="246"/>
      <c r="B419" s="246"/>
      <c r="C419" s="246"/>
      <c r="D419" s="244"/>
      <c r="E419" s="48"/>
      <c r="F419" s="47"/>
      <c r="G419" s="49"/>
      <c r="H419" s="244"/>
      <c r="K419" s="244"/>
      <c r="O419" s="246"/>
    </row>
    <row r="420" spans="1:15" s="278" customFormat="1" ht="15.75" customHeight="1" x14ac:dyDescent="0.2">
      <c r="A420" s="246"/>
      <c r="B420" s="246"/>
      <c r="C420" s="246"/>
      <c r="D420" s="244"/>
      <c r="E420" s="35"/>
      <c r="F420" s="32"/>
      <c r="G420" s="36"/>
      <c r="H420" s="244"/>
      <c r="K420" s="244"/>
      <c r="O420" s="246"/>
    </row>
    <row r="421" spans="1:15" s="278" customFormat="1" ht="15.75" customHeight="1" x14ac:dyDescent="0.2">
      <c r="A421" s="246"/>
      <c r="B421" s="246"/>
      <c r="C421" s="246"/>
      <c r="D421" s="244"/>
      <c r="E421" s="48"/>
      <c r="F421" s="47"/>
      <c r="G421" s="49"/>
      <c r="H421" s="244"/>
      <c r="K421" s="244"/>
      <c r="O421" s="246"/>
    </row>
    <row r="422" spans="1:15" s="278" customFormat="1" ht="15.75" customHeight="1" x14ac:dyDescent="0.2">
      <c r="A422" s="246"/>
      <c r="B422" s="246"/>
      <c r="C422" s="246"/>
      <c r="D422" s="244"/>
      <c r="E422" s="35"/>
      <c r="F422" s="32"/>
      <c r="G422" s="36"/>
      <c r="H422" s="244"/>
      <c r="K422" s="244"/>
      <c r="O422" s="246"/>
    </row>
    <row r="423" spans="1:15" s="278" customFormat="1" ht="15.75" customHeight="1" x14ac:dyDescent="0.2">
      <c r="A423" s="246"/>
      <c r="B423" s="246"/>
      <c r="C423" s="246"/>
      <c r="D423" s="244"/>
      <c r="E423" s="48"/>
      <c r="F423" s="47"/>
      <c r="G423" s="49"/>
      <c r="H423" s="244"/>
      <c r="K423" s="244"/>
      <c r="O423" s="246"/>
    </row>
    <row r="424" spans="1:15" s="278" customFormat="1" ht="15.75" customHeight="1" x14ac:dyDescent="0.2">
      <c r="A424" s="246"/>
      <c r="B424" s="246"/>
      <c r="C424" s="246"/>
      <c r="D424" s="244"/>
      <c r="E424" s="35"/>
      <c r="F424" s="32"/>
      <c r="G424" s="36"/>
      <c r="H424" s="244"/>
      <c r="K424" s="244"/>
      <c r="O424" s="246"/>
    </row>
    <row r="425" spans="1:15" s="278" customFormat="1" ht="15.75" customHeight="1" x14ac:dyDescent="0.2">
      <c r="A425" s="246"/>
      <c r="B425" s="246"/>
      <c r="C425" s="246"/>
      <c r="D425" s="244"/>
      <c r="E425" s="48"/>
      <c r="F425" s="47"/>
      <c r="G425" s="49"/>
      <c r="H425" s="244"/>
      <c r="K425" s="244"/>
      <c r="O425" s="246"/>
    </row>
    <row r="426" spans="1:15" s="278" customFormat="1" ht="15.75" customHeight="1" x14ac:dyDescent="0.2">
      <c r="A426" s="246"/>
      <c r="B426" s="246"/>
      <c r="C426" s="246"/>
      <c r="D426" s="244"/>
      <c r="E426" s="35"/>
      <c r="F426" s="32"/>
      <c r="G426" s="36"/>
      <c r="H426" s="244"/>
      <c r="K426" s="244"/>
      <c r="O426" s="246"/>
    </row>
    <row r="427" spans="1:15" s="278" customFormat="1" ht="15.75" customHeight="1" x14ac:dyDescent="0.2">
      <c r="A427" s="246"/>
      <c r="B427" s="246"/>
      <c r="C427" s="246"/>
      <c r="D427" s="244"/>
      <c r="E427" s="48"/>
      <c r="F427" s="47"/>
      <c r="G427" s="49"/>
      <c r="H427" s="244"/>
      <c r="K427" s="244"/>
      <c r="O427" s="246"/>
    </row>
    <row r="428" spans="1:15" s="278" customFormat="1" ht="15.75" customHeight="1" x14ac:dyDescent="0.2">
      <c r="A428" s="246"/>
      <c r="B428" s="246"/>
      <c r="C428" s="246"/>
      <c r="D428" s="244"/>
      <c r="E428" s="35"/>
      <c r="F428" s="32"/>
      <c r="G428" s="36"/>
      <c r="H428" s="244"/>
      <c r="K428" s="244"/>
      <c r="O428" s="246"/>
    </row>
    <row r="429" spans="1:15" s="278" customFormat="1" ht="15.75" customHeight="1" x14ac:dyDescent="0.2">
      <c r="A429" s="246"/>
      <c r="B429" s="246"/>
      <c r="C429" s="246"/>
      <c r="D429" s="244"/>
      <c r="H429" s="244"/>
      <c r="K429" s="244"/>
      <c r="O429" s="246"/>
    </row>
    <row r="430" spans="1:15" s="278" customFormat="1" ht="15.75" customHeight="1" x14ac:dyDescent="0.2">
      <c r="A430" s="246"/>
      <c r="B430" s="246"/>
      <c r="C430" s="246"/>
      <c r="D430" s="244"/>
      <c r="H430" s="244"/>
      <c r="K430" s="244"/>
      <c r="O430" s="246"/>
    </row>
    <row r="431" spans="1:15" s="278" customFormat="1" ht="15.75" customHeight="1" x14ac:dyDescent="0.2">
      <c r="A431" s="246"/>
      <c r="B431" s="246"/>
      <c r="C431" s="246"/>
      <c r="D431" s="244"/>
      <c r="H431" s="244"/>
      <c r="K431" s="244"/>
      <c r="O431" s="246"/>
    </row>
    <row r="432" spans="1:15" s="278" customFormat="1" ht="15.75" customHeight="1" x14ac:dyDescent="0.2">
      <c r="A432" s="246"/>
      <c r="B432" s="246"/>
      <c r="C432" s="246"/>
      <c r="D432" s="244"/>
      <c r="H432" s="244"/>
      <c r="K432" s="244"/>
      <c r="O432" s="246"/>
    </row>
    <row r="433" spans="1:15" s="278" customFormat="1" ht="15.75" customHeight="1" x14ac:dyDescent="0.2">
      <c r="A433" s="246"/>
      <c r="B433" s="246"/>
      <c r="C433" s="246"/>
      <c r="D433" s="244"/>
      <c r="H433" s="244"/>
      <c r="K433" s="244"/>
      <c r="O433" s="246"/>
    </row>
    <row r="434" spans="1:15" s="278" customFormat="1" ht="15.75" customHeight="1" x14ac:dyDescent="0.2">
      <c r="A434" s="246"/>
      <c r="B434" s="246"/>
      <c r="C434" s="246"/>
      <c r="D434" s="244"/>
      <c r="H434" s="244"/>
      <c r="K434" s="244"/>
      <c r="O434" s="246"/>
    </row>
    <row r="435" spans="1:15" s="278" customFormat="1" ht="15.75" customHeight="1" x14ac:dyDescent="0.2">
      <c r="A435" s="246"/>
      <c r="B435" s="246"/>
      <c r="C435" s="246"/>
      <c r="D435" s="244"/>
      <c r="H435" s="244"/>
      <c r="K435" s="244"/>
      <c r="O435" s="246"/>
    </row>
    <row r="436" spans="1:15" s="278" customFormat="1" ht="15.75" customHeight="1" x14ac:dyDescent="0.2">
      <c r="A436" s="246"/>
      <c r="B436" s="246"/>
      <c r="C436" s="246"/>
      <c r="D436" s="244"/>
      <c r="H436" s="244"/>
      <c r="K436" s="244"/>
      <c r="O436" s="246"/>
    </row>
    <row r="437" spans="1:15" s="278" customFormat="1" ht="15.75" customHeight="1" x14ac:dyDescent="0.2">
      <c r="A437" s="246"/>
      <c r="B437" s="246"/>
      <c r="C437" s="246"/>
      <c r="D437" s="244"/>
      <c r="H437" s="244"/>
      <c r="K437" s="244"/>
      <c r="O437" s="246"/>
    </row>
    <row r="438" spans="1:15" s="278" customFormat="1" ht="15.75" customHeight="1" x14ac:dyDescent="0.2">
      <c r="A438" s="246"/>
      <c r="B438" s="246"/>
      <c r="C438" s="246"/>
      <c r="D438" s="244"/>
      <c r="H438" s="244"/>
      <c r="K438" s="244"/>
      <c r="O438" s="246"/>
    </row>
    <row r="439" spans="1:15" s="278" customFormat="1" ht="15.75" customHeight="1" x14ac:dyDescent="0.2">
      <c r="A439" s="246"/>
      <c r="B439" s="246"/>
      <c r="C439" s="246"/>
      <c r="D439" s="244"/>
      <c r="H439" s="244"/>
      <c r="K439" s="244"/>
      <c r="O439" s="246"/>
    </row>
    <row r="440" spans="1:15" s="278" customFormat="1" ht="15.75" customHeight="1" x14ac:dyDescent="0.2">
      <c r="A440" s="246"/>
      <c r="B440" s="246"/>
      <c r="C440" s="246"/>
      <c r="D440" s="244"/>
      <c r="H440" s="244"/>
      <c r="K440" s="244"/>
      <c r="O440" s="246"/>
    </row>
    <row r="441" spans="1:15" s="278" customFormat="1" ht="15.75" customHeight="1" x14ac:dyDescent="0.2">
      <c r="A441" s="246"/>
      <c r="B441" s="246"/>
      <c r="C441" s="246"/>
      <c r="D441" s="244"/>
      <c r="H441" s="244"/>
      <c r="K441" s="244"/>
      <c r="O441" s="246"/>
    </row>
    <row r="442" spans="1:15" s="278" customFormat="1" ht="15.75" customHeight="1" x14ac:dyDescent="0.2">
      <c r="A442" s="246"/>
      <c r="B442" s="246"/>
      <c r="C442" s="246"/>
      <c r="D442" s="244"/>
      <c r="H442" s="244"/>
      <c r="K442" s="244"/>
      <c r="O442" s="246"/>
    </row>
    <row r="443" spans="1:15" s="278" customFormat="1" ht="15.75" customHeight="1" x14ac:dyDescent="0.2">
      <c r="A443" s="246"/>
      <c r="B443" s="246"/>
      <c r="C443" s="246"/>
      <c r="D443" s="244"/>
      <c r="H443" s="244"/>
      <c r="K443" s="244"/>
      <c r="O443" s="246"/>
    </row>
    <row r="444" spans="1:15" s="278" customFormat="1" ht="15.75" customHeight="1" x14ac:dyDescent="0.2">
      <c r="A444" s="246"/>
      <c r="B444" s="246"/>
      <c r="C444" s="246"/>
      <c r="D444" s="244"/>
      <c r="H444" s="244"/>
      <c r="K444" s="244"/>
      <c r="O444" s="246"/>
    </row>
    <row r="445" spans="1:15" s="278" customFormat="1" ht="15.75" customHeight="1" x14ac:dyDescent="0.2">
      <c r="A445" s="246"/>
      <c r="B445" s="246"/>
      <c r="C445" s="246"/>
      <c r="D445" s="244"/>
      <c r="H445" s="244"/>
      <c r="K445" s="244"/>
      <c r="O445" s="246"/>
    </row>
    <row r="446" spans="1:15" s="278" customFormat="1" ht="15.75" customHeight="1" x14ac:dyDescent="0.2">
      <c r="A446" s="246"/>
      <c r="B446" s="246"/>
      <c r="C446" s="246"/>
      <c r="D446" s="244"/>
      <c r="H446" s="244"/>
      <c r="K446" s="244"/>
      <c r="O446" s="246"/>
    </row>
    <row r="447" spans="1:15" s="278" customFormat="1" ht="15.75" customHeight="1" x14ac:dyDescent="0.2">
      <c r="A447" s="246"/>
      <c r="B447" s="246"/>
      <c r="C447" s="246"/>
      <c r="D447" s="244"/>
      <c r="H447" s="244"/>
      <c r="K447" s="244"/>
      <c r="O447" s="246"/>
    </row>
    <row r="448" spans="1:15" s="278" customFormat="1" ht="15.75" customHeight="1" x14ac:dyDescent="0.2">
      <c r="A448" s="246"/>
      <c r="B448" s="246"/>
      <c r="C448" s="246"/>
      <c r="D448" s="244"/>
      <c r="H448" s="244"/>
      <c r="K448" s="244"/>
      <c r="O448" s="246"/>
    </row>
    <row r="449" spans="1:15" s="278" customFormat="1" ht="15.75" customHeight="1" x14ac:dyDescent="0.2">
      <c r="A449" s="246"/>
      <c r="B449" s="246"/>
      <c r="C449" s="246"/>
      <c r="D449" s="244"/>
      <c r="H449" s="244"/>
      <c r="K449" s="244"/>
      <c r="O449" s="246"/>
    </row>
    <row r="450" spans="1:15" s="278" customFormat="1" ht="15.75" customHeight="1" x14ac:dyDescent="0.2">
      <c r="A450" s="246"/>
      <c r="B450" s="246"/>
      <c r="C450" s="246"/>
      <c r="D450" s="244"/>
      <c r="H450" s="244"/>
      <c r="K450" s="244"/>
      <c r="O450" s="246"/>
    </row>
    <row r="451" spans="1:15" s="278" customFormat="1" ht="15.75" customHeight="1" x14ac:dyDescent="0.2">
      <c r="A451" s="246"/>
      <c r="B451" s="246"/>
      <c r="C451" s="246"/>
      <c r="D451" s="244"/>
      <c r="H451" s="244"/>
      <c r="K451" s="244"/>
      <c r="O451" s="246"/>
    </row>
    <row r="452" spans="1:15" s="278" customFormat="1" ht="15.75" customHeight="1" x14ac:dyDescent="0.2">
      <c r="A452" s="246"/>
      <c r="B452" s="246"/>
      <c r="C452" s="246"/>
      <c r="D452" s="244"/>
      <c r="H452" s="244"/>
      <c r="K452" s="244"/>
      <c r="O452" s="246"/>
    </row>
    <row r="453" spans="1:15" s="278" customFormat="1" ht="15.75" customHeight="1" x14ac:dyDescent="0.2">
      <c r="A453" s="246"/>
      <c r="B453" s="246"/>
      <c r="C453" s="246"/>
      <c r="D453" s="244"/>
      <c r="H453" s="244"/>
      <c r="K453" s="244"/>
      <c r="O453" s="246"/>
    </row>
    <row r="454" spans="1:15" s="278" customFormat="1" ht="15.75" customHeight="1" x14ac:dyDescent="0.2">
      <c r="A454" s="246"/>
      <c r="B454" s="246"/>
      <c r="C454" s="246"/>
      <c r="D454" s="244"/>
      <c r="H454" s="244"/>
      <c r="K454" s="244"/>
      <c r="O454" s="246"/>
    </row>
    <row r="455" spans="1:15" s="278" customFormat="1" ht="15.75" customHeight="1" x14ac:dyDescent="0.2">
      <c r="A455" s="246"/>
      <c r="B455" s="246"/>
      <c r="C455" s="246"/>
      <c r="D455" s="244"/>
      <c r="H455" s="244"/>
      <c r="K455" s="244"/>
      <c r="O455" s="246"/>
    </row>
    <row r="456" spans="1:15" s="278" customFormat="1" ht="15.75" customHeight="1" x14ac:dyDescent="0.2">
      <c r="A456" s="246"/>
      <c r="B456" s="246"/>
      <c r="C456" s="246"/>
      <c r="D456" s="244"/>
      <c r="H456" s="244"/>
      <c r="K456" s="244"/>
      <c r="O456" s="246"/>
    </row>
    <row r="457" spans="1:15" s="278" customFormat="1" ht="15.75" customHeight="1" x14ac:dyDescent="0.2">
      <c r="A457" s="246"/>
      <c r="B457" s="246"/>
      <c r="C457" s="246"/>
      <c r="D457" s="244"/>
      <c r="H457" s="244"/>
      <c r="K457" s="244"/>
      <c r="O457" s="246"/>
    </row>
    <row r="458" spans="1:15" s="278" customFormat="1" ht="15.75" customHeight="1" x14ac:dyDescent="0.2">
      <c r="A458" s="246"/>
      <c r="B458" s="246"/>
      <c r="C458" s="246"/>
      <c r="D458" s="244"/>
      <c r="H458" s="244"/>
      <c r="K458" s="244"/>
      <c r="O458" s="246"/>
    </row>
    <row r="459" spans="1:15" s="278" customFormat="1" ht="15.75" customHeight="1" x14ac:dyDescent="0.2">
      <c r="A459" s="246"/>
      <c r="B459" s="246"/>
      <c r="C459" s="246"/>
      <c r="D459" s="244"/>
      <c r="H459" s="244"/>
      <c r="K459" s="244"/>
      <c r="O459" s="246"/>
    </row>
    <row r="460" spans="1:15" s="278" customFormat="1" ht="15.75" customHeight="1" x14ac:dyDescent="0.2">
      <c r="A460" s="246"/>
      <c r="B460" s="246"/>
      <c r="C460" s="246"/>
      <c r="D460" s="244"/>
      <c r="H460" s="244"/>
      <c r="K460" s="244"/>
      <c r="O460" s="246"/>
    </row>
    <row r="461" spans="1:15" s="278" customFormat="1" ht="15.75" customHeight="1" x14ac:dyDescent="0.2">
      <c r="A461" s="246"/>
      <c r="B461" s="246"/>
      <c r="C461" s="246"/>
      <c r="D461" s="244"/>
      <c r="H461" s="244"/>
      <c r="K461" s="244"/>
      <c r="O461" s="246"/>
    </row>
    <row r="462" spans="1:15" s="278" customFormat="1" ht="15.75" customHeight="1" x14ac:dyDescent="0.2">
      <c r="A462" s="246"/>
      <c r="B462" s="246"/>
      <c r="C462" s="246"/>
      <c r="D462" s="244"/>
      <c r="H462" s="244"/>
      <c r="K462" s="244"/>
      <c r="O462" s="246"/>
    </row>
    <row r="463" spans="1:15" s="278" customFormat="1" ht="15.75" customHeight="1" x14ac:dyDescent="0.2">
      <c r="A463" s="246"/>
      <c r="B463" s="246"/>
      <c r="C463" s="246"/>
      <c r="D463" s="244"/>
      <c r="H463" s="244"/>
      <c r="K463" s="244"/>
      <c r="O463" s="246"/>
    </row>
    <row r="464" spans="1:15" s="278" customFormat="1" ht="15.75" customHeight="1" x14ac:dyDescent="0.2">
      <c r="A464" s="246"/>
      <c r="B464" s="246"/>
      <c r="C464" s="246"/>
      <c r="D464" s="244"/>
      <c r="H464" s="244"/>
      <c r="K464" s="244"/>
      <c r="O464" s="246"/>
    </row>
    <row r="465" spans="1:15" s="278" customFormat="1" ht="15.75" customHeight="1" x14ac:dyDescent="0.2">
      <c r="A465" s="246"/>
      <c r="B465" s="246"/>
      <c r="C465" s="246"/>
      <c r="D465" s="244"/>
      <c r="H465" s="244"/>
      <c r="K465" s="244"/>
      <c r="O465" s="246"/>
    </row>
    <row r="466" spans="1:15" s="278" customFormat="1" ht="15.75" customHeight="1" x14ac:dyDescent="0.2">
      <c r="A466" s="246"/>
      <c r="B466" s="246"/>
      <c r="C466" s="246"/>
      <c r="D466" s="244"/>
      <c r="H466" s="244"/>
      <c r="K466" s="244"/>
      <c r="O466" s="246"/>
    </row>
    <row r="467" spans="1:15" s="278" customFormat="1" ht="15.75" customHeight="1" x14ac:dyDescent="0.2">
      <c r="A467" s="246"/>
      <c r="B467" s="246"/>
      <c r="C467" s="246"/>
      <c r="D467" s="244"/>
      <c r="H467" s="244"/>
      <c r="K467" s="244"/>
      <c r="O467" s="246"/>
    </row>
    <row r="468" spans="1:15" s="278" customFormat="1" ht="15.75" customHeight="1" x14ac:dyDescent="0.2">
      <c r="A468" s="246"/>
      <c r="B468" s="246"/>
      <c r="C468" s="246"/>
      <c r="D468" s="244"/>
      <c r="H468" s="244"/>
      <c r="K468" s="244"/>
      <c r="O468" s="246"/>
    </row>
    <row r="469" spans="1:15" s="278" customFormat="1" ht="15.75" customHeight="1" x14ac:dyDescent="0.2">
      <c r="A469" s="246"/>
      <c r="B469" s="246"/>
      <c r="C469" s="246"/>
      <c r="D469" s="244"/>
      <c r="H469" s="244"/>
      <c r="K469" s="244"/>
      <c r="O469" s="246"/>
    </row>
    <row r="470" spans="1:15" s="278" customFormat="1" ht="15.75" customHeight="1" x14ac:dyDescent="0.2">
      <c r="A470" s="246"/>
      <c r="B470" s="246"/>
      <c r="C470" s="246"/>
      <c r="D470" s="244"/>
      <c r="H470" s="244"/>
      <c r="K470" s="244"/>
      <c r="O470" s="246"/>
    </row>
    <row r="471" spans="1:15" s="278" customFormat="1" ht="15.75" customHeight="1" x14ac:dyDescent="0.2">
      <c r="A471" s="246"/>
      <c r="B471" s="246"/>
      <c r="C471" s="246"/>
      <c r="D471" s="244"/>
      <c r="H471" s="244"/>
      <c r="K471" s="244"/>
      <c r="O471" s="246"/>
    </row>
    <row r="472" spans="1:15" s="278" customFormat="1" ht="15.75" customHeight="1" x14ac:dyDescent="0.2">
      <c r="A472" s="246"/>
      <c r="B472" s="246"/>
      <c r="C472" s="246"/>
      <c r="D472" s="244"/>
      <c r="H472" s="244"/>
      <c r="K472" s="244"/>
      <c r="O472" s="246"/>
    </row>
    <row r="473" spans="1:15" s="278" customFormat="1" ht="15.75" customHeight="1" x14ac:dyDescent="0.2">
      <c r="A473" s="246"/>
      <c r="B473" s="246"/>
      <c r="C473" s="246"/>
      <c r="D473" s="244"/>
      <c r="H473" s="244"/>
      <c r="K473" s="244"/>
      <c r="O473" s="246"/>
    </row>
    <row r="474" spans="1:15" s="278" customFormat="1" ht="15.75" customHeight="1" x14ac:dyDescent="0.2">
      <c r="A474" s="246"/>
      <c r="B474" s="246"/>
      <c r="C474" s="246"/>
      <c r="D474" s="244"/>
      <c r="H474" s="244"/>
      <c r="K474" s="244"/>
      <c r="O474" s="246"/>
    </row>
    <row r="475" spans="1:15" s="278" customFormat="1" ht="15.75" customHeight="1" x14ac:dyDescent="0.2">
      <c r="A475" s="246"/>
      <c r="B475" s="246"/>
      <c r="C475" s="246"/>
      <c r="D475" s="244"/>
      <c r="H475" s="244"/>
      <c r="K475" s="244"/>
      <c r="O475" s="246"/>
    </row>
    <row r="476" spans="1:15" s="278" customFormat="1" ht="15.75" customHeight="1" x14ac:dyDescent="0.2">
      <c r="A476" s="246"/>
      <c r="B476" s="246"/>
      <c r="C476" s="246"/>
      <c r="D476" s="244"/>
      <c r="H476" s="244"/>
      <c r="K476" s="244"/>
      <c r="O476" s="246"/>
    </row>
    <row r="477" spans="1:15" s="278" customFormat="1" ht="15.75" customHeight="1" x14ac:dyDescent="0.2">
      <c r="A477" s="246"/>
      <c r="B477" s="246"/>
      <c r="C477" s="246"/>
      <c r="D477" s="244"/>
      <c r="H477" s="244"/>
      <c r="K477" s="244"/>
      <c r="O477" s="246"/>
    </row>
    <row r="478" spans="1:15" s="278" customFormat="1" ht="15.75" customHeight="1" x14ac:dyDescent="0.2">
      <c r="A478" s="246"/>
      <c r="B478" s="246"/>
      <c r="C478" s="246"/>
      <c r="D478" s="244"/>
      <c r="H478" s="244"/>
      <c r="K478" s="244"/>
      <c r="O478" s="246"/>
    </row>
    <row r="479" spans="1:15" s="278" customFormat="1" ht="15.75" customHeight="1" x14ac:dyDescent="0.2">
      <c r="A479" s="246"/>
      <c r="B479" s="246"/>
      <c r="C479" s="246"/>
      <c r="D479" s="244"/>
      <c r="H479" s="244"/>
      <c r="K479" s="244"/>
      <c r="O479" s="246"/>
    </row>
    <row r="480" spans="1:15" s="278" customFormat="1" ht="15.75" customHeight="1" x14ac:dyDescent="0.2">
      <c r="A480" s="246"/>
      <c r="B480" s="246"/>
      <c r="C480" s="246"/>
      <c r="D480" s="244"/>
      <c r="H480" s="244"/>
      <c r="K480" s="244"/>
      <c r="O480" s="246"/>
    </row>
    <row r="481" spans="1:15" s="278" customFormat="1" ht="15.75" customHeight="1" x14ac:dyDescent="0.2">
      <c r="A481" s="246"/>
      <c r="B481" s="246"/>
      <c r="C481" s="246"/>
      <c r="D481" s="244"/>
      <c r="H481" s="244"/>
      <c r="K481" s="244"/>
      <c r="O481" s="246"/>
    </row>
    <row r="482" spans="1:15" s="278" customFormat="1" ht="15.75" customHeight="1" x14ac:dyDescent="0.2">
      <c r="A482" s="246"/>
      <c r="B482" s="246"/>
      <c r="C482" s="246"/>
      <c r="D482" s="244"/>
      <c r="H482" s="244"/>
      <c r="K482" s="244"/>
      <c r="O482" s="246"/>
    </row>
    <row r="483" spans="1:15" s="278" customFormat="1" ht="15.75" customHeight="1" x14ac:dyDescent="0.2">
      <c r="A483" s="246"/>
      <c r="B483" s="246"/>
      <c r="C483" s="246"/>
      <c r="D483" s="244"/>
      <c r="H483" s="244"/>
      <c r="K483" s="244"/>
      <c r="O483" s="246"/>
    </row>
    <row r="484" spans="1:15" s="278" customFormat="1" ht="15.75" customHeight="1" x14ac:dyDescent="0.2">
      <c r="A484" s="246"/>
      <c r="B484" s="246"/>
      <c r="C484" s="246"/>
      <c r="D484" s="244"/>
      <c r="H484" s="244"/>
      <c r="K484" s="244"/>
      <c r="O484" s="246"/>
    </row>
    <row r="485" spans="1:15" s="278" customFormat="1" ht="15.75" customHeight="1" x14ac:dyDescent="0.2">
      <c r="A485" s="246"/>
      <c r="B485" s="246"/>
      <c r="C485" s="246"/>
      <c r="D485" s="244"/>
      <c r="H485" s="244"/>
      <c r="K485" s="244"/>
      <c r="O485" s="246"/>
    </row>
    <row r="486" spans="1:15" s="278" customFormat="1" ht="15.75" customHeight="1" x14ac:dyDescent="0.2">
      <c r="A486" s="246"/>
      <c r="B486" s="246"/>
      <c r="C486" s="246"/>
      <c r="D486" s="244"/>
      <c r="H486" s="244"/>
      <c r="K486" s="244"/>
      <c r="O486" s="246"/>
    </row>
    <row r="487" spans="1:15" s="278" customFormat="1" ht="15.75" customHeight="1" x14ac:dyDescent="0.2">
      <c r="A487" s="246"/>
      <c r="B487" s="246"/>
      <c r="C487" s="246"/>
      <c r="D487" s="244"/>
      <c r="H487" s="244"/>
      <c r="K487" s="244"/>
      <c r="O487" s="246"/>
    </row>
    <row r="488" spans="1:15" s="278" customFormat="1" ht="15.75" customHeight="1" x14ac:dyDescent="0.2">
      <c r="A488" s="246"/>
      <c r="B488" s="246"/>
      <c r="C488" s="246"/>
      <c r="D488" s="244"/>
      <c r="H488" s="244"/>
      <c r="K488" s="244"/>
      <c r="O488" s="246"/>
    </row>
    <row r="489" spans="1:15" s="278" customFormat="1" ht="15.75" customHeight="1" x14ac:dyDescent="0.2">
      <c r="A489" s="246"/>
      <c r="B489" s="246"/>
      <c r="C489" s="246"/>
      <c r="D489" s="244"/>
      <c r="H489" s="244"/>
      <c r="K489" s="244"/>
      <c r="O489" s="246"/>
    </row>
    <row r="490" spans="1:15" s="278" customFormat="1" ht="15.75" customHeight="1" x14ac:dyDescent="0.2">
      <c r="A490" s="246"/>
      <c r="B490" s="246"/>
      <c r="C490" s="246"/>
      <c r="D490" s="244"/>
      <c r="H490" s="244"/>
      <c r="K490" s="244"/>
      <c r="O490" s="246"/>
    </row>
    <row r="491" spans="1:15" s="278" customFormat="1" ht="15.75" customHeight="1" x14ac:dyDescent="0.2">
      <c r="A491" s="246"/>
      <c r="B491" s="246"/>
      <c r="C491" s="246"/>
      <c r="D491" s="244"/>
      <c r="H491" s="244"/>
      <c r="K491" s="244"/>
      <c r="O491" s="246"/>
    </row>
    <row r="492" spans="1:15" s="278" customFormat="1" ht="15.75" customHeight="1" x14ac:dyDescent="0.2">
      <c r="A492" s="246"/>
      <c r="B492" s="246"/>
      <c r="C492" s="246"/>
      <c r="D492" s="244"/>
      <c r="H492" s="244"/>
      <c r="K492" s="244"/>
      <c r="O492" s="246"/>
    </row>
    <row r="493" spans="1:15" s="278" customFormat="1" ht="15.75" customHeight="1" x14ac:dyDescent="0.2">
      <c r="A493" s="246"/>
      <c r="B493" s="246"/>
      <c r="C493" s="246"/>
      <c r="D493" s="244"/>
      <c r="H493" s="244"/>
      <c r="K493" s="244"/>
      <c r="O493" s="246"/>
    </row>
    <row r="494" spans="1:15" s="278" customFormat="1" ht="15.75" customHeight="1" x14ac:dyDescent="0.2">
      <c r="A494" s="246"/>
      <c r="B494" s="246"/>
      <c r="C494" s="246"/>
      <c r="D494" s="244"/>
      <c r="H494" s="244"/>
      <c r="K494" s="244"/>
      <c r="O494" s="246"/>
    </row>
    <row r="495" spans="1:15" s="278" customFormat="1" ht="15.75" customHeight="1" x14ac:dyDescent="0.2">
      <c r="A495" s="246"/>
      <c r="B495" s="246"/>
      <c r="C495" s="246"/>
      <c r="D495" s="244"/>
      <c r="H495" s="244"/>
      <c r="K495" s="244"/>
      <c r="O495" s="246"/>
    </row>
    <row r="496" spans="1:15" s="278" customFormat="1" ht="15.75" customHeight="1" x14ac:dyDescent="0.2">
      <c r="A496" s="246"/>
      <c r="B496" s="246"/>
      <c r="C496" s="246"/>
      <c r="D496" s="244"/>
      <c r="H496" s="244"/>
      <c r="K496" s="244"/>
      <c r="O496" s="246"/>
    </row>
    <row r="497" spans="1:15" s="278" customFormat="1" ht="15.75" customHeight="1" x14ac:dyDescent="0.2">
      <c r="A497" s="246"/>
      <c r="B497" s="246"/>
      <c r="C497" s="246"/>
      <c r="D497" s="244"/>
      <c r="H497" s="244"/>
      <c r="K497" s="244"/>
      <c r="O497" s="246"/>
    </row>
    <row r="498" spans="1:15" s="278" customFormat="1" ht="15.75" customHeight="1" x14ac:dyDescent="0.2">
      <c r="A498" s="246"/>
      <c r="B498" s="246"/>
      <c r="C498" s="246"/>
      <c r="D498" s="244"/>
      <c r="H498" s="244"/>
      <c r="K498" s="244"/>
      <c r="O498" s="246"/>
    </row>
    <row r="499" spans="1:15" s="278" customFormat="1" ht="15.75" customHeight="1" x14ac:dyDescent="0.2">
      <c r="A499" s="246"/>
      <c r="B499" s="246"/>
      <c r="C499" s="246"/>
      <c r="D499" s="244"/>
      <c r="H499" s="244"/>
      <c r="K499" s="244"/>
      <c r="O499" s="246"/>
    </row>
    <row r="500" spans="1:15" s="278" customFormat="1" ht="15.75" customHeight="1" x14ac:dyDescent="0.2">
      <c r="A500" s="246"/>
      <c r="B500" s="246"/>
      <c r="C500" s="246"/>
      <c r="D500" s="244"/>
      <c r="H500" s="244"/>
      <c r="K500" s="244"/>
      <c r="O500" s="246"/>
    </row>
    <row r="501" spans="1:15" s="278" customFormat="1" ht="15.75" customHeight="1" x14ac:dyDescent="0.2">
      <c r="A501" s="246"/>
      <c r="B501" s="246"/>
      <c r="C501" s="246"/>
      <c r="D501" s="244"/>
      <c r="H501" s="244"/>
      <c r="K501" s="244"/>
      <c r="O501" s="246"/>
    </row>
    <row r="502" spans="1:15" s="278" customFormat="1" ht="15.75" customHeight="1" x14ac:dyDescent="0.2">
      <c r="A502" s="246"/>
      <c r="B502" s="246"/>
      <c r="C502" s="246"/>
      <c r="D502" s="244"/>
      <c r="H502" s="244"/>
      <c r="K502" s="244"/>
      <c r="O502" s="246"/>
    </row>
    <row r="503" spans="1:15" s="278" customFormat="1" ht="15.75" customHeight="1" x14ac:dyDescent="0.2">
      <c r="A503" s="246"/>
      <c r="B503" s="246"/>
      <c r="C503" s="246"/>
      <c r="D503" s="244"/>
      <c r="H503" s="244"/>
      <c r="K503" s="244"/>
      <c r="O503" s="246"/>
    </row>
    <row r="504" spans="1:15" s="278" customFormat="1" ht="15.75" customHeight="1" x14ac:dyDescent="0.2">
      <c r="A504" s="246"/>
      <c r="B504" s="246"/>
      <c r="C504" s="246"/>
      <c r="D504" s="244"/>
      <c r="H504" s="244"/>
      <c r="K504" s="244"/>
      <c r="O504" s="246"/>
    </row>
    <row r="505" spans="1:15" s="278" customFormat="1" ht="15.75" customHeight="1" x14ac:dyDescent="0.2">
      <c r="A505" s="246"/>
      <c r="B505" s="246"/>
      <c r="C505" s="246"/>
      <c r="D505" s="244"/>
      <c r="H505" s="244"/>
      <c r="K505" s="244"/>
      <c r="O505" s="246"/>
    </row>
    <row r="506" spans="1:15" s="278" customFormat="1" ht="15.75" customHeight="1" x14ac:dyDescent="0.2">
      <c r="A506" s="246"/>
      <c r="B506" s="246"/>
      <c r="C506" s="246"/>
      <c r="D506" s="244"/>
      <c r="H506" s="244"/>
      <c r="K506" s="244"/>
      <c r="O506" s="246"/>
    </row>
    <row r="507" spans="1:15" s="278" customFormat="1" ht="15.75" customHeight="1" x14ac:dyDescent="0.2">
      <c r="A507" s="246"/>
      <c r="B507" s="246"/>
      <c r="C507" s="246"/>
      <c r="D507" s="244"/>
      <c r="H507" s="244"/>
      <c r="K507" s="244"/>
      <c r="O507" s="246"/>
    </row>
    <row r="508" spans="1:15" s="278" customFormat="1" ht="15.75" customHeight="1" x14ac:dyDescent="0.2">
      <c r="A508" s="246"/>
      <c r="B508" s="246"/>
      <c r="C508" s="246"/>
      <c r="D508" s="244"/>
      <c r="H508" s="244"/>
      <c r="K508" s="244"/>
      <c r="O508" s="246"/>
    </row>
    <row r="509" spans="1:15" s="278" customFormat="1" ht="15.75" customHeight="1" x14ac:dyDescent="0.2">
      <c r="A509" s="246"/>
      <c r="B509" s="246"/>
      <c r="C509" s="246"/>
      <c r="D509" s="244"/>
      <c r="H509" s="244"/>
      <c r="K509" s="244"/>
      <c r="O509" s="246"/>
    </row>
    <row r="510" spans="1:15" s="278" customFormat="1" ht="15.75" customHeight="1" x14ac:dyDescent="0.2">
      <c r="A510" s="246"/>
      <c r="B510" s="246"/>
      <c r="C510" s="246"/>
      <c r="D510" s="244"/>
      <c r="H510" s="244"/>
      <c r="K510" s="244"/>
      <c r="O510" s="246"/>
    </row>
    <row r="511" spans="1:15" s="278" customFormat="1" ht="15.75" customHeight="1" x14ac:dyDescent="0.2">
      <c r="A511" s="246"/>
      <c r="B511" s="246"/>
      <c r="C511" s="246"/>
      <c r="D511" s="244"/>
      <c r="H511" s="244"/>
      <c r="K511" s="244"/>
      <c r="O511" s="246"/>
    </row>
    <row r="512" spans="1:15" s="278" customFormat="1" ht="15.75" customHeight="1" x14ac:dyDescent="0.2">
      <c r="A512" s="246"/>
      <c r="B512" s="246"/>
      <c r="C512" s="246"/>
      <c r="D512" s="244"/>
      <c r="H512" s="244"/>
      <c r="K512" s="244"/>
      <c r="O512" s="246"/>
    </row>
    <row r="513" spans="1:15" s="278" customFormat="1" ht="15.75" customHeight="1" x14ac:dyDescent="0.2">
      <c r="A513" s="246"/>
      <c r="B513" s="246"/>
      <c r="C513" s="246"/>
      <c r="D513" s="244"/>
      <c r="H513" s="244"/>
      <c r="K513" s="244"/>
      <c r="O513" s="246"/>
    </row>
    <row r="514" spans="1:15" s="278" customFormat="1" ht="15.75" customHeight="1" x14ac:dyDescent="0.2">
      <c r="A514" s="246"/>
      <c r="B514" s="246"/>
      <c r="C514" s="246"/>
      <c r="D514" s="244"/>
      <c r="H514" s="244"/>
      <c r="K514" s="244"/>
      <c r="O514" s="246"/>
    </row>
    <row r="515" spans="1:15" s="278" customFormat="1" ht="15.75" customHeight="1" x14ac:dyDescent="0.2">
      <c r="A515" s="246"/>
      <c r="B515" s="246"/>
      <c r="C515" s="246"/>
      <c r="D515" s="244"/>
      <c r="H515" s="244"/>
      <c r="K515" s="244"/>
      <c r="O515" s="246"/>
    </row>
    <row r="516" spans="1:15" s="278" customFormat="1" ht="15.75" customHeight="1" x14ac:dyDescent="0.2">
      <c r="A516" s="246"/>
      <c r="B516" s="246"/>
      <c r="C516" s="246"/>
      <c r="D516" s="244"/>
      <c r="H516" s="244"/>
      <c r="K516" s="244"/>
      <c r="O516" s="246"/>
    </row>
    <row r="517" spans="1:15" s="278" customFormat="1" ht="15.75" customHeight="1" x14ac:dyDescent="0.2">
      <c r="A517" s="246"/>
      <c r="B517" s="246"/>
      <c r="C517" s="246"/>
      <c r="D517" s="244"/>
      <c r="H517" s="244"/>
      <c r="K517" s="244"/>
      <c r="O517" s="246"/>
    </row>
    <row r="518" spans="1:15" s="278" customFormat="1" ht="15.75" customHeight="1" x14ac:dyDescent="0.2">
      <c r="A518" s="246"/>
      <c r="B518" s="246"/>
      <c r="C518" s="246"/>
      <c r="D518" s="244"/>
      <c r="H518" s="244"/>
      <c r="K518" s="244"/>
      <c r="O518" s="246"/>
    </row>
    <row r="519" spans="1:15" s="278" customFormat="1" ht="15.75" customHeight="1" x14ac:dyDescent="0.2">
      <c r="A519" s="246"/>
      <c r="B519" s="246"/>
      <c r="C519" s="246"/>
      <c r="D519" s="244"/>
      <c r="H519" s="244"/>
      <c r="K519" s="244"/>
      <c r="O519" s="246"/>
    </row>
    <row r="520" spans="1:15" s="278" customFormat="1" ht="15.75" customHeight="1" x14ac:dyDescent="0.2">
      <c r="A520" s="246"/>
      <c r="B520" s="246"/>
      <c r="C520" s="246"/>
      <c r="D520" s="244"/>
      <c r="H520" s="244"/>
      <c r="K520" s="244"/>
      <c r="O520" s="246"/>
    </row>
    <row r="521" spans="1:15" s="278" customFormat="1" ht="15.75" customHeight="1" x14ac:dyDescent="0.2">
      <c r="A521" s="246"/>
      <c r="B521" s="246"/>
      <c r="C521" s="246"/>
      <c r="D521" s="244"/>
      <c r="H521" s="244"/>
      <c r="K521" s="244"/>
      <c r="O521" s="246"/>
    </row>
    <row r="522" spans="1:15" s="278" customFormat="1" ht="15.75" customHeight="1" x14ac:dyDescent="0.2">
      <c r="A522" s="246"/>
      <c r="B522" s="246"/>
      <c r="C522" s="246"/>
      <c r="D522" s="244"/>
      <c r="H522" s="244"/>
      <c r="K522" s="244"/>
      <c r="O522" s="246"/>
    </row>
    <row r="523" spans="1:15" s="278" customFormat="1" ht="15.75" customHeight="1" x14ac:dyDescent="0.2">
      <c r="A523" s="246"/>
      <c r="B523" s="246"/>
      <c r="C523" s="246"/>
      <c r="D523" s="244"/>
      <c r="H523" s="244"/>
      <c r="K523" s="244"/>
      <c r="O523" s="246"/>
    </row>
    <row r="524" spans="1:15" s="278" customFormat="1" ht="15.75" customHeight="1" x14ac:dyDescent="0.2">
      <c r="A524" s="246"/>
      <c r="B524" s="246"/>
      <c r="C524" s="246"/>
      <c r="D524" s="244"/>
      <c r="H524" s="244"/>
      <c r="K524" s="244"/>
      <c r="O524" s="246"/>
    </row>
    <row r="525" spans="1:15" s="278" customFormat="1" ht="15.75" customHeight="1" x14ac:dyDescent="0.2">
      <c r="A525" s="246"/>
      <c r="B525" s="246"/>
      <c r="C525" s="246"/>
      <c r="D525" s="244"/>
      <c r="H525" s="244"/>
      <c r="K525" s="244"/>
      <c r="O525" s="246"/>
    </row>
    <row r="526" spans="1:15" s="278" customFormat="1" ht="15.75" customHeight="1" x14ac:dyDescent="0.2">
      <c r="A526" s="246"/>
      <c r="B526" s="246"/>
      <c r="C526" s="246"/>
      <c r="D526" s="244"/>
      <c r="H526" s="244"/>
      <c r="K526" s="244"/>
      <c r="O526" s="246"/>
    </row>
    <row r="527" spans="1:15" s="278" customFormat="1" ht="15.75" customHeight="1" x14ac:dyDescent="0.2">
      <c r="A527" s="246"/>
      <c r="B527" s="246"/>
      <c r="C527" s="246"/>
      <c r="D527" s="244"/>
      <c r="H527" s="244"/>
      <c r="K527" s="244"/>
      <c r="O527" s="246"/>
    </row>
    <row r="528" spans="1:15" s="278" customFormat="1" ht="15.75" customHeight="1" x14ac:dyDescent="0.2">
      <c r="A528" s="246"/>
      <c r="B528" s="246"/>
      <c r="C528" s="246"/>
      <c r="D528" s="244"/>
      <c r="H528" s="244"/>
      <c r="K528" s="244"/>
      <c r="O528" s="246"/>
    </row>
    <row r="529" spans="1:15" s="278" customFormat="1" ht="15.75" customHeight="1" x14ac:dyDescent="0.2">
      <c r="A529" s="246"/>
      <c r="B529" s="246"/>
      <c r="C529" s="246"/>
      <c r="D529" s="244"/>
      <c r="H529" s="244"/>
      <c r="K529" s="244"/>
      <c r="O529" s="246"/>
    </row>
    <row r="530" spans="1:15" s="278" customFormat="1" ht="15.75" customHeight="1" x14ac:dyDescent="0.2">
      <c r="A530" s="246"/>
      <c r="B530" s="246"/>
      <c r="C530" s="246"/>
      <c r="D530" s="244"/>
      <c r="H530" s="244"/>
      <c r="K530" s="244"/>
      <c r="O530" s="246"/>
    </row>
    <row r="531" spans="1:15" s="278" customFormat="1" ht="15.75" customHeight="1" x14ac:dyDescent="0.2">
      <c r="A531" s="246"/>
      <c r="B531" s="246"/>
      <c r="C531" s="246"/>
      <c r="D531" s="244"/>
      <c r="H531" s="244"/>
      <c r="K531" s="244"/>
      <c r="O531" s="246"/>
    </row>
    <row r="532" spans="1:15" s="278" customFormat="1" ht="15.75" customHeight="1" x14ac:dyDescent="0.2">
      <c r="A532" s="246"/>
      <c r="B532" s="246"/>
      <c r="C532" s="246"/>
      <c r="D532" s="244"/>
      <c r="H532" s="244"/>
      <c r="K532" s="244"/>
      <c r="O532" s="246"/>
    </row>
    <row r="533" spans="1:15" s="278" customFormat="1" ht="15.75" customHeight="1" x14ac:dyDescent="0.2">
      <c r="A533" s="246"/>
      <c r="B533" s="246"/>
      <c r="C533" s="246"/>
      <c r="D533" s="244"/>
      <c r="H533" s="244"/>
      <c r="K533" s="244"/>
      <c r="O533" s="246"/>
    </row>
    <row r="534" spans="1:15" s="278" customFormat="1" ht="15.75" customHeight="1" x14ac:dyDescent="0.2">
      <c r="A534" s="246"/>
      <c r="B534" s="246"/>
      <c r="C534" s="246"/>
      <c r="D534" s="244"/>
      <c r="H534" s="244"/>
      <c r="K534" s="244"/>
      <c r="O534" s="246"/>
    </row>
    <row r="535" spans="1:15" s="278" customFormat="1" ht="15.75" customHeight="1" x14ac:dyDescent="0.2">
      <c r="A535" s="246"/>
      <c r="B535" s="246"/>
      <c r="C535" s="246"/>
      <c r="D535" s="244"/>
      <c r="H535" s="244"/>
      <c r="K535" s="244"/>
      <c r="O535" s="246"/>
    </row>
    <row r="536" spans="1:15" s="278" customFormat="1" ht="15.75" customHeight="1" x14ac:dyDescent="0.2">
      <c r="A536" s="246"/>
      <c r="B536" s="246"/>
      <c r="C536" s="246"/>
      <c r="D536" s="244"/>
      <c r="H536" s="244"/>
      <c r="K536" s="244"/>
      <c r="O536" s="246"/>
    </row>
    <row r="537" spans="1:15" s="278" customFormat="1" ht="15.75" customHeight="1" x14ac:dyDescent="0.2">
      <c r="A537" s="246"/>
      <c r="B537" s="246"/>
      <c r="C537" s="246"/>
      <c r="D537" s="244"/>
      <c r="H537" s="244"/>
      <c r="K537" s="244"/>
      <c r="O537" s="246"/>
    </row>
    <row r="538" spans="1:15" s="278" customFormat="1" ht="15.75" customHeight="1" x14ac:dyDescent="0.2">
      <c r="A538" s="246"/>
      <c r="B538" s="246"/>
      <c r="C538" s="246"/>
      <c r="D538" s="244"/>
      <c r="H538" s="244"/>
      <c r="K538" s="244"/>
      <c r="O538" s="246"/>
    </row>
    <row r="539" spans="1:15" s="278" customFormat="1" ht="15.75" customHeight="1" x14ac:dyDescent="0.2">
      <c r="A539" s="246"/>
      <c r="B539" s="246"/>
      <c r="C539" s="246"/>
      <c r="D539" s="244"/>
      <c r="H539" s="244"/>
      <c r="K539" s="244"/>
      <c r="O539" s="246"/>
    </row>
    <row r="540" spans="1:15" s="278" customFormat="1" ht="15.75" customHeight="1" x14ac:dyDescent="0.2">
      <c r="A540" s="246"/>
      <c r="B540" s="246"/>
      <c r="C540" s="246"/>
      <c r="D540" s="244"/>
      <c r="H540" s="244"/>
      <c r="K540" s="244"/>
      <c r="O540" s="246"/>
    </row>
    <row r="541" spans="1:15" s="278" customFormat="1" ht="15.75" customHeight="1" x14ac:dyDescent="0.2">
      <c r="A541" s="246"/>
      <c r="B541" s="246"/>
      <c r="C541" s="246"/>
      <c r="D541" s="244"/>
      <c r="H541" s="244"/>
      <c r="K541" s="244"/>
      <c r="O541" s="246"/>
    </row>
    <row r="542" spans="1:15" s="278" customFormat="1" ht="15.75" customHeight="1" x14ac:dyDescent="0.2">
      <c r="A542" s="246"/>
      <c r="B542" s="246"/>
      <c r="C542" s="246"/>
      <c r="D542" s="244"/>
      <c r="H542" s="244"/>
      <c r="K542" s="244"/>
      <c r="O542" s="246"/>
    </row>
    <row r="543" spans="1:15" s="278" customFormat="1" ht="15.75" customHeight="1" x14ac:dyDescent="0.2">
      <c r="A543" s="246"/>
      <c r="B543" s="246"/>
      <c r="C543" s="246"/>
      <c r="D543" s="244"/>
      <c r="H543" s="244"/>
      <c r="K543" s="244"/>
      <c r="O543" s="246"/>
    </row>
    <row r="544" spans="1:15" s="278" customFormat="1" ht="15.75" customHeight="1" x14ac:dyDescent="0.2">
      <c r="A544" s="246"/>
      <c r="B544" s="246"/>
      <c r="C544" s="246"/>
      <c r="D544" s="244"/>
      <c r="H544" s="244"/>
      <c r="K544" s="244"/>
      <c r="O544" s="246"/>
    </row>
    <row r="545" spans="2:3" ht="15.75" customHeight="1" x14ac:dyDescent="0.2">
      <c r="B545" s="240"/>
      <c r="C545" s="240"/>
    </row>
    <row r="546" spans="2:3" ht="15.75" customHeight="1" x14ac:dyDescent="0.2">
      <c r="B546" s="240"/>
      <c r="C546" s="240"/>
    </row>
    <row r="547" spans="2:3" ht="15.75" customHeight="1" x14ac:dyDescent="0.2">
      <c r="B547" s="240"/>
      <c r="C547" s="240"/>
    </row>
    <row r="548" spans="2:3" ht="15.75" customHeight="1" x14ac:dyDescent="0.2">
      <c r="B548" s="240"/>
      <c r="C548" s="240"/>
    </row>
    <row r="549" spans="2:3" ht="15.75" customHeight="1" x14ac:dyDescent="0.2">
      <c r="B549" s="240"/>
      <c r="C549" s="240"/>
    </row>
    <row r="550" spans="2:3" ht="15.75" customHeight="1" x14ac:dyDescent="0.2">
      <c r="B550" s="240"/>
      <c r="C550" s="240"/>
    </row>
    <row r="551" spans="2:3" ht="15.75" customHeight="1" x14ac:dyDescent="0.2">
      <c r="B551" s="240"/>
      <c r="C551" s="240"/>
    </row>
    <row r="552" spans="2:3" ht="15.75" customHeight="1" x14ac:dyDescent="0.2">
      <c r="B552" s="240"/>
      <c r="C552" s="240"/>
    </row>
    <row r="553" spans="2:3" ht="15.75" customHeight="1" x14ac:dyDescent="0.2">
      <c r="B553" s="240"/>
      <c r="C553" s="240"/>
    </row>
    <row r="554" spans="2:3" ht="15.75" customHeight="1" x14ac:dyDescent="0.2">
      <c r="B554" s="240"/>
      <c r="C554" s="240"/>
    </row>
    <row r="555" spans="2:3" ht="15.75" customHeight="1" x14ac:dyDescent="0.2">
      <c r="B555" s="240"/>
      <c r="C555" s="240"/>
    </row>
    <row r="556" spans="2:3" ht="15.75" customHeight="1" x14ac:dyDescent="0.2">
      <c r="B556" s="240"/>
      <c r="C556" s="240"/>
    </row>
    <row r="557" spans="2:3" ht="15.75" customHeight="1" x14ac:dyDescent="0.2">
      <c r="B557" s="240"/>
      <c r="C557" s="240"/>
    </row>
    <row r="558" spans="2:3" ht="15.75" customHeight="1" x14ac:dyDescent="0.2">
      <c r="B558" s="240"/>
      <c r="C558" s="240"/>
    </row>
    <row r="559" spans="2:3" ht="15.75" customHeight="1" x14ac:dyDescent="0.2">
      <c r="B559" s="240"/>
      <c r="C559" s="240"/>
    </row>
    <row r="560" spans="2:3" ht="15.75" customHeight="1" x14ac:dyDescent="0.2">
      <c r="B560" s="240"/>
      <c r="C560" s="240"/>
    </row>
    <row r="561" spans="2:3" ht="15.75" customHeight="1" x14ac:dyDescent="0.2">
      <c r="B561" s="240"/>
      <c r="C561" s="240"/>
    </row>
    <row r="562" spans="2:3" ht="15.75" customHeight="1" x14ac:dyDescent="0.2">
      <c r="B562" s="240"/>
      <c r="C562" s="240"/>
    </row>
    <row r="563" spans="2:3" ht="15.75" customHeight="1" x14ac:dyDescent="0.2">
      <c r="B563" s="240"/>
      <c r="C563" s="240"/>
    </row>
    <row r="564" spans="2:3" ht="15.75" customHeight="1" x14ac:dyDescent="0.2">
      <c r="B564" s="240"/>
      <c r="C564" s="240"/>
    </row>
    <row r="565" spans="2:3" ht="15.75" customHeight="1" x14ac:dyDescent="0.2">
      <c r="B565" s="240"/>
      <c r="C565" s="240"/>
    </row>
    <row r="566" spans="2:3" ht="15.75" customHeight="1" x14ac:dyDescent="0.2">
      <c r="B566" s="240"/>
      <c r="C566" s="240"/>
    </row>
    <row r="567" spans="2:3" ht="15.75" customHeight="1" x14ac:dyDescent="0.2">
      <c r="B567" s="240"/>
      <c r="C567" s="240"/>
    </row>
    <row r="568" spans="2:3" ht="15.75" customHeight="1" x14ac:dyDescent="0.2">
      <c r="B568" s="240"/>
      <c r="C568" s="240"/>
    </row>
    <row r="569" spans="2:3" ht="15.75" customHeight="1" x14ac:dyDescent="0.2">
      <c r="B569" s="240"/>
      <c r="C569" s="240"/>
    </row>
    <row r="570" spans="2:3" ht="15.75" customHeight="1" x14ac:dyDescent="0.2">
      <c r="B570" s="240"/>
      <c r="C570" s="240"/>
    </row>
    <row r="571" spans="2:3" ht="15.75" customHeight="1" x14ac:dyDescent="0.2">
      <c r="B571" s="240"/>
      <c r="C571" s="240"/>
    </row>
    <row r="572" spans="2:3" ht="15.75" customHeight="1" x14ac:dyDescent="0.2">
      <c r="B572" s="240"/>
      <c r="C572" s="240"/>
    </row>
    <row r="573" spans="2:3" ht="15.75" customHeight="1" x14ac:dyDescent="0.2">
      <c r="B573" s="240"/>
      <c r="C573" s="240"/>
    </row>
    <row r="574" spans="2:3" ht="15.75" customHeight="1" x14ac:dyDescent="0.2">
      <c r="B574" s="240"/>
      <c r="C574" s="240"/>
    </row>
    <row r="575" spans="2:3" ht="15.75" customHeight="1" x14ac:dyDescent="0.2">
      <c r="B575" s="240"/>
      <c r="C575" s="240"/>
    </row>
    <row r="576" spans="2:3" ht="15.75" customHeight="1" x14ac:dyDescent="0.2">
      <c r="B576" s="240"/>
      <c r="C576" s="240"/>
    </row>
    <row r="577" spans="2:3" ht="15.75" customHeight="1" x14ac:dyDescent="0.2">
      <c r="B577" s="240"/>
      <c r="C577" s="240"/>
    </row>
    <row r="578" spans="2:3" ht="15.75" customHeight="1" x14ac:dyDescent="0.2">
      <c r="B578" s="240"/>
      <c r="C578" s="240"/>
    </row>
    <row r="579" spans="2:3" ht="15.75" customHeight="1" x14ac:dyDescent="0.2">
      <c r="B579" s="240"/>
      <c r="C579" s="240"/>
    </row>
    <row r="580" spans="2:3" ht="15.75" customHeight="1" x14ac:dyDescent="0.2">
      <c r="B580" s="240"/>
      <c r="C580" s="240"/>
    </row>
    <row r="581" spans="2:3" ht="15.75" customHeight="1" x14ac:dyDescent="0.2">
      <c r="B581" s="240"/>
      <c r="C581" s="240"/>
    </row>
    <row r="582" spans="2:3" ht="15.75" customHeight="1" x14ac:dyDescent="0.2">
      <c r="B582" s="240"/>
      <c r="C582" s="240"/>
    </row>
    <row r="583" spans="2:3" ht="15.75" customHeight="1" x14ac:dyDescent="0.2">
      <c r="B583" s="240"/>
      <c r="C583" s="240"/>
    </row>
    <row r="584" spans="2:3" ht="15.75" customHeight="1" x14ac:dyDescent="0.2">
      <c r="B584" s="240"/>
      <c r="C584" s="240"/>
    </row>
    <row r="585" spans="2:3" ht="15.75" customHeight="1" x14ac:dyDescent="0.2">
      <c r="B585" s="240"/>
      <c r="C585" s="240"/>
    </row>
    <row r="586" spans="2:3" ht="15.75" customHeight="1" x14ac:dyDescent="0.2">
      <c r="B586" s="240"/>
      <c r="C586" s="240"/>
    </row>
    <row r="587" spans="2:3" ht="15.75" customHeight="1" x14ac:dyDescent="0.2">
      <c r="B587" s="240"/>
      <c r="C587" s="240"/>
    </row>
    <row r="588" spans="2:3" ht="15.75" customHeight="1" x14ac:dyDescent="0.2">
      <c r="B588" s="240"/>
      <c r="C588" s="240"/>
    </row>
    <row r="589" spans="2:3" ht="15.75" customHeight="1" x14ac:dyDescent="0.2">
      <c r="B589" s="240"/>
      <c r="C589" s="240"/>
    </row>
    <row r="590" spans="2:3" ht="15.75" customHeight="1" x14ac:dyDescent="0.2">
      <c r="B590" s="240"/>
      <c r="C590" s="240"/>
    </row>
    <row r="591" spans="2:3" ht="15.75" customHeight="1" x14ac:dyDescent="0.2">
      <c r="B591" s="240"/>
      <c r="C591" s="240"/>
    </row>
    <row r="592" spans="2:3" ht="15.75" customHeight="1" x14ac:dyDescent="0.2">
      <c r="B592" s="240"/>
      <c r="C592" s="240"/>
    </row>
    <row r="593" spans="2:3" ht="15.75" customHeight="1" x14ac:dyDescent="0.2">
      <c r="B593" s="240"/>
      <c r="C593" s="240"/>
    </row>
    <row r="594" spans="2:3" ht="15.75" customHeight="1" x14ac:dyDescent="0.2">
      <c r="B594" s="240"/>
      <c r="C594" s="240"/>
    </row>
    <row r="595" spans="2:3" ht="15.75" customHeight="1" x14ac:dyDescent="0.2">
      <c r="B595" s="240"/>
      <c r="C595" s="240"/>
    </row>
    <row r="596" spans="2:3" ht="15.75" customHeight="1" x14ac:dyDescent="0.2">
      <c r="B596" s="240"/>
      <c r="C596" s="240"/>
    </row>
    <row r="597" spans="2:3" ht="15.75" customHeight="1" x14ac:dyDescent="0.2">
      <c r="B597" s="240"/>
      <c r="C597" s="240"/>
    </row>
    <row r="598" spans="2:3" ht="15.75" customHeight="1" x14ac:dyDescent="0.2">
      <c r="B598" s="240"/>
      <c r="C598" s="240"/>
    </row>
    <row r="599" spans="2:3" ht="15.75" customHeight="1" x14ac:dyDescent="0.2">
      <c r="B599" s="240"/>
      <c r="C599" s="240"/>
    </row>
    <row r="600" spans="2:3" ht="15.75" customHeight="1" x14ac:dyDescent="0.2">
      <c r="B600" s="240"/>
      <c r="C600" s="240"/>
    </row>
    <row r="601" spans="2:3" ht="15.75" customHeight="1" x14ac:dyDescent="0.2">
      <c r="B601" s="240"/>
      <c r="C601" s="240"/>
    </row>
    <row r="602" spans="2:3" ht="15.75" customHeight="1" x14ac:dyDescent="0.2">
      <c r="B602" s="240"/>
      <c r="C602" s="240"/>
    </row>
    <row r="603" spans="2:3" ht="15.75" customHeight="1" x14ac:dyDescent="0.2">
      <c r="B603" s="240"/>
      <c r="C603" s="240"/>
    </row>
    <row r="604" spans="2:3" ht="15.75" customHeight="1" x14ac:dyDescent="0.2">
      <c r="B604" s="240"/>
      <c r="C604" s="240"/>
    </row>
    <row r="605" spans="2:3" ht="15.75" customHeight="1" x14ac:dyDescent="0.2">
      <c r="B605" s="240"/>
      <c r="C605" s="240"/>
    </row>
    <row r="606" spans="2:3" ht="15.75" customHeight="1" x14ac:dyDescent="0.2">
      <c r="B606" s="240"/>
      <c r="C606" s="240"/>
    </row>
    <row r="607" spans="2:3" ht="15.75" customHeight="1" x14ac:dyDescent="0.2">
      <c r="B607" s="240"/>
      <c r="C607" s="240"/>
    </row>
    <row r="608" spans="2:3" ht="15.75" customHeight="1" x14ac:dyDescent="0.2">
      <c r="B608" s="240"/>
      <c r="C608" s="240"/>
    </row>
    <row r="609" spans="2:3" ht="15.75" customHeight="1" x14ac:dyDescent="0.2">
      <c r="B609" s="240"/>
      <c r="C609" s="240"/>
    </row>
    <row r="610" spans="2:3" ht="15.75" customHeight="1" x14ac:dyDescent="0.2">
      <c r="B610" s="240"/>
      <c r="C610" s="240"/>
    </row>
    <row r="611" spans="2:3" ht="15.75" customHeight="1" x14ac:dyDescent="0.2">
      <c r="B611" s="240"/>
      <c r="C611" s="240"/>
    </row>
    <row r="612" spans="2:3" ht="15.75" customHeight="1" x14ac:dyDescent="0.2">
      <c r="B612" s="240"/>
      <c r="C612" s="240"/>
    </row>
    <row r="613" spans="2:3" ht="15.75" customHeight="1" x14ac:dyDescent="0.2">
      <c r="B613" s="240"/>
      <c r="C613" s="240"/>
    </row>
    <row r="614" spans="2:3" ht="15.75" customHeight="1" x14ac:dyDescent="0.2">
      <c r="B614" s="240"/>
      <c r="C614" s="240"/>
    </row>
    <row r="615" spans="2:3" ht="15.75" customHeight="1" x14ac:dyDescent="0.2">
      <c r="B615" s="240"/>
      <c r="C615" s="240"/>
    </row>
    <row r="616" spans="2:3" ht="15.75" customHeight="1" x14ac:dyDescent="0.2">
      <c r="B616" s="240"/>
      <c r="C616" s="240"/>
    </row>
    <row r="617" spans="2:3" ht="15.75" customHeight="1" x14ac:dyDescent="0.2">
      <c r="B617" s="240"/>
      <c r="C617" s="240"/>
    </row>
    <row r="618" spans="2:3" ht="15.75" customHeight="1" x14ac:dyDescent="0.2">
      <c r="B618" s="240"/>
      <c r="C618" s="240"/>
    </row>
    <row r="619" spans="2:3" ht="15.75" customHeight="1" x14ac:dyDescent="0.2">
      <c r="B619" s="240"/>
      <c r="C619" s="240"/>
    </row>
    <row r="620" spans="2:3" ht="15.75" customHeight="1" x14ac:dyDescent="0.2">
      <c r="B620" s="240"/>
      <c r="C620" s="240"/>
    </row>
    <row r="621" spans="2:3" ht="15.75" customHeight="1" x14ac:dyDescent="0.2">
      <c r="B621" s="240"/>
      <c r="C621" s="240"/>
    </row>
    <row r="622" spans="2:3" ht="15.75" customHeight="1" x14ac:dyDescent="0.2">
      <c r="B622" s="240"/>
      <c r="C622" s="240"/>
    </row>
    <row r="623" spans="2:3" ht="15.75" customHeight="1" x14ac:dyDescent="0.2">
      <c r="B623" s="240"/>
      <c r="C623" s="240"/>
    </row>
    <row r="624" spans="2:3" ht="15.75" customHeight="1" x14ac:dyDescent="0.2">
      <c r="B624" s="240"/>
      <c r="C624" s="240"/>
    </row>
    <row r="625" spans="2:3" ht="15.75" customHeight="1" x14ac:dyDescent="0.2">
      <c r="B625" s="240"/>
      <c r="C625" s="240"/>
    </row>
    <row r="626" spans="2:3" ht="15.75" customHeight="1" x14ac:dyDescent="0.2">
      <c r="B626" s="240"/>
      <c r="C626" s="240"/>
    </row>
    <row r="627" spans="2:3" ht="15.75" customHeight="1" x14ac:dyDescent="0.2">
      <c r="B627" s="240"/>
      <c r="C627" s="240"/>
    </row>
    <row r="628" spans="2:3" ht="15.75" customHeight="1" x14ac:dyDescent="0.2">
      <c r="B628" s="240"/>
      <c r="C628" s="240"/>
    </row>
    <row r="629" spans="2:3" ht="15.75" customHeight="1" x14ac:dyDescent="0.2">
      <c r="B629" s="240"/>
      <c r="C629" s="240"/>
    </row>
    <row r="630" spans="2:3" ht="15.75" customHeight="1" x14ac:dyDescent="0.2">
      <c r="B630" s="240"/>
      <c r="C630" s="240"/>
    </row>
    <row r="631" spans="2:3" ht="15.75" customHeight="1" x14ac:dyDescent="0.2">
      <c r="B631" s="240"/>
      <c r="C631" s="240"/>
    </row>
    <row r="632" spans="2:3" ht="15.75" customHeight="1" x14ac:dyDescent="0.2">
      <c r="B632" s="240"/>
      <c r="C632" s="240"/>
    </row>
    <row r="633" spans="2:3" ht="15.75" customHeight="1" x14ac:dyDescent="0.2">
      <c r="B633" s="240"/>
      <c r="C633" s="240"/>
    </row>
    <row r="634" spans="2:3" ht="15.75" customHeight="1" x14ac:dyDescent="0.2">
      <c r="B634" s="240"/>
      <c r="C634" s="240"/>
    </row>
    <row r="635" spans="2:3" ht="15.75" customHeight="1" x14ac:dyDescent="0.2">
      <c r="B635" s="240"/>
      <c r="C635" s="240"/>
    </row>
    <row r="636" spans="2:3" ht="15.75" customHeight="1" x14ac:dyDescent="0.2">
      <c r="B636" s="240"/>
      <c r="C636" s="240"/>
    </row>
    <row r="637" spans="2:3" ht="15.75" customHeight="1" x14ac:dyDescent="0.2">
      <c r="B637" s="240"/>
      <c r="C637" s="240"/>
    </row>
    <row r="638" spans="2:3" ht="15.75" customHeight="1" x14ac:dyDescent="0.2">
      <c r="B638" s="240"/>
      <c r="C638" s="240"/>
    </row>
    <row r="639" spans="2:3" ht="15.75" customHeight="1" x14ac:dyDescent="0.2">
      <c r="B639" s="240"/>
      <c r="C639" s="240"/>
    </row>
    <row r="640" spans="2:3" ht="15.75" customHeight="1" x14ac:dyDescent="0.2">
      <c r="B640" s="240"/>
      <c r="C640" s="240"/>
    </row>
    <row r="641" spans="2:3" ht="15.75" customHeight="1" x14ac:dyDescent="0.2">
      <c r="B641" s="240"/>
      <c r="C641" s="240"/>
    </row>
    <row r="642" spans="2:3" ht="15.75" customHeight="1" x14ac:dyDescent="0.2">
      <c r="B642" s="240"/>
      <c r="C642" s="240"/>
    </row>
    <row r="643" spans="2:3" ht="15.75" customHeight="1" x14ac:dyDescent="0.2">
      <c r="B643" s="240"/>
      <c r="C643" s="240"/>
    </row>
    <row r="644" spans="2:3" ht="15.75" customHeight="1" x14ac:dyDescent="0.2">
      <c r="B644" s="240"/>
      <c r="C644" s="240"/>
    </row>
    <row r="645" spans="2:3" ht="15.75" customHeight="1" x14ac:dyDescent="0.2">
      <c r="B645" s="240"/>
      <c r="C645" s="240"/>
    </row>
    <row r="646" spans="2:3" ht="15.75" customHeight="1" x14ac:dyDescent="0.2">
      <c r="B646" s="240"/>
      <c r="C646" s="240"/>
    </row>
    <row r="647" spans="2:3" ht="15.75" customHeight="1" x14ac:dyDescent="0.2">
      <c r="B647" s="240"/>
      <c r="C647" s="240"/>
    </row>
    <row r="648" spans="2:3" ht="15.75" customHeight="1" x14ac:dyDescent="0.2">
      <c r="B648" s="240"/>
      <c r="C648" s="240"/>
    </row>
    <row r="649" spans="2:3" ht="15.75" customHeight="1" x14ac:dyDescent="0.2">
      <c r="B649" s="240"/>
      <c r="C649" s="240"/>
    </row>
    <row r="650" spans="2:3" ht="15.75" customHeight="1" x14ac:dyDescent="0.2">
      <c r="B650" s="240"/>
      <c r="C650" s="240"/>
    </row>
    <row r="651" spans="2:3" ht="15.75" customHeight="1" x14ac:dyDescent="0.2">
      <c r="B651" s="240"/>
      <c r="C651" s="240"/>
    </row>
    <row r="652" spans="2:3" ht="15.75" customHeight="1" x14ac:dyDescent="0.2">
      <c r="B652" s="240"/>
      <c r="C652" s="240"/>
    </row>
    <row r="653" spans="2:3" ht="15.75" customHeight="1" x14ac:dyDescent="0.2">
      <c r="B653" s="240"/>
      <c r="C653" s="240"/>
    </row>
    <row r="654" spans="2:3" ht="15.75" customHeight="1" x14ac:dyDescent="0.2">
      <c r="B654" s="240"/>
      <c r="C654" s="240"/>
    </row>
    <row r="655" spans="2:3" ht="15.75" customHeight="1" x14ac:dyDescent="0.2">
      <c r="B655" s="240"/>
      <c r="C655" s="240"/>
    </row>
    <row r="656" spans="2:3" ht="15.75" customHeight="1" x14ac:dyDescent="0.2">
      <c r="B656" s="240"/>
      <c r="C656" s="240"/>
    </row>
    <row r="657" spans="2:3" ht="15.75" customHeight="1" x14ac:dyDescent="0.2">
      <c r="B657" s="240"/>
      <c r="C657" s="240"/>
    </row>
    <row r="658" spans="2:3" ht="15.75" customHeight="1" x14ac:dyDescent="0.2">
      <c r="B658" s="240"/>
      <c r="C658" s="240"/>
    </row>
    <row r="659" spans="2:3" ht="15.75" customHeight="1" x14ac:dyDescent="0.2">
      <c r="B659" s="240"/>
      <c r="C659" s="240"/>
    </row>
    <row r="660" spans="2:3" ht="15.75" customHeight="1" x14ac:dyDescent="0.2">
      <c r="B660" s="240"/>
      <c r="C660" s="240"/>
    </row>
    <row r="661" spans="2:3" ht="15.75" customHeight="1" x14ac:dyDescent="0.2">
      <c r="B661" s="240"/>
      <c r="C661" s="240"/>
    </row>
    <row r="662" spans="2:3" ht="15.75" customHeight="1" x14ac:dyDescent="0.2">
      <c r="B662" s="240"/>
      <c r="C662" s="240"/>
    </row>
    <row r="663" spans="2:3" ht="15.75" customHeight="1" x14ac:dyDescent="0.2">
      <c r="B663" s="240"/>
      <c r="C663" s="240"/>
    </row>
    <row r="664" spans="2:3" ht="15.75" customHeight="1" x14ac:dyDescent="0.2">
      <c r="B664" s="240"/>
      <c r="C664" s="240"/>
    </row>
    <row r="665" spans="2:3" ht="15.75" customHeight="1" x14ac:dyDescent="0.2">
      <c r="B665" s="240"/>
      <c r="C665" s="240"/>
    </row>
    <row r="666" spans="2:3" ht="15.75" customHeight="1" x14ac:dyDescent="0.2">
      <c r="B666" s="240"/>
      <c r="C666" s="240"/>
    </row>
    <row r="667" spans="2:3" ht="15.75" customHeight="1" x14ac:dyDescent="0.2">
      <c r="B667" s="240"/>
      <c r="C667" s="240"/>
    </row>
    <row r="668" spans="2:3" ht="15.75" customHeight="1" x14ac:dyDescent="0.2">
      <c r="B668" s="240"/>
      <c r="C668" s="240"/>
    </row>
    <row r="669" spans="2:3" ht="15.75" customHeight="1" x14ac:dyDescent="0.2">
      <c r="B669" s="240"/>
      <c r="C669" s="240"/>
    </row>
    <row r="670" spans="2:3" ht="15.75" customHeight="1" x14ac:dyDescent="0.2">
      <c r="B670" s="240"/>
      <c r="C670" s="240"/>
    </row>
    <row r="671" spans="2:3" ht="15.75" customHeight="1" x14ac:dyDescent="0.2">
      <c r="B671" s="240"/>
      <c r="C671" s="240"/>
    </row>
    <row r="672" spans="2:3" ht="15.75" customHeight="1" x14ac:dyDescent="0.2">
      <c r="B672" s="240"/>
      <c r="C672" s="240"/>
    </row>
    <row r="673" spans="2:3" ht="15.75" customHeight="1" x14ac:dyDescent="0.2">
      <c r="B673" s="240"/>
      <c r="C673" s="240"/>
    </row>
    <row r="674" spans="2:3" ht="15.75" customHeight="1" x14ac:dyDescent="0.2">
      <c r="B674" s="240"/>
      <c r="C674" s="240"/>
    </row>
    <row r="675" spans="2:3" ht="15.75" customHeight="1" x14ac:dyDescent="0.2">
      <c r="B675" s="240"/>
      <c r="C675" s="240"/>
    </row>
    <row r="676" spans="2:3" ht="15.75" customHeight="1" x14ac:dyDescent="0.2">
      <c r="B676" s="240"/>
      <c r="C676" s="240"/>
    </row>
    <row r="677" spans="2:3" ht="15.75" customHeight="1" x14ac:dyDescent="0.2">
      <c r="B677" s="240"/>
      <c r="C677" s="240"/>
    </row>
    <row r="678" spans="2:3" ht="15.75" customHeight="1" x14ac:dyDescent="0.2">
      <c r="B678" s="240"/>
      <c r="C678" s="240"/>
    </row>
    <row r="679" spans="2:3" ht="15.75" customHeight="1" x14ac:dyDescent="0.2">
      <c r="B679" s="240"/>
      <c r="C679" s="240"/>
    </row>
    <row r="680" spans="2:3" ht="15.75" customHeight="1" x14ac:dyDescent="0.2">
      <c r="B680" s="240"/>
      <c r="C680" s="240"/>
    </row>
    <row r="681" spans="2:3" ht="15.75" customHeight="1" x14ac:dyDescent="0.2">
      <c r="B681" s="240"/>
      <c r="C681" s="240"/>
    </row>
    <row r="682" spans="2:3" ht="15.75" customHeight="1" x14ac:dyDescent="0.2">
      <c r="B682" s="240"/>
      <c r="C682" s="240"/>
    </row>
    <row r="683" spans="2:3" ht="15.75" customHeight="1" x14ac:dyDescent="0.2">
      <c r="B683" s="240"/>
      <c r="C683" s="240"/>
    </row>
    <row r="684" spans="2:3" ht="15.75" customHeight="1" x14ac:dyDescent="0.2">
      <c r="B684" s="240"/>
      <c r="C684" s="240"/>
    </row>
    <row r="685" spans="2:3" ht="15.75" customHeight="1" x14ac:dyDescent="0.2">
      <c r="B685" s="240"/>
      <c r="C685" s="240"/>
    </row>
    <row r="686" spans="2:3" ht="15.75" customHeight="1" x14ac:dyDescent="0.2">
      <c r="B686" s="240"/>
      <c r="C686" s="240"/>
    </row>
    <row r="687" spans="2:3" ht="15.75" customHeight="1" x14ac:dyDescent="0.2">
      <c r="B687" s="240"/>
      <c r="C687" s="240"/>
    </row>
    <row r="688" spans="2:3" ht="15.75" customHeight="1" x14ac:dyDescent="0.2">
      <c r="B688" s="240"/>
      <c r="C688" s="240"/>
    </row>
    <row r="689" spans="2:3" ht="15.75" customHeight="1" x14ac:dyDescent="0.2">
      <c r="B689" s="240"/>
      <c r="C689" s="240"/>
    </row>
    <row r="690" spans="2:3" ht="15.75" customHeight="1" x14ac:dyDescent="0.2">
      <c r="B690" s="240"/>
      <c r="C690" s="240"/>
    </row>
    <row r="691" spans="2:3" ht="15.75" customHeight="1" x14ac:dyDescent="0.2">
      <c r="B691" s="240"/>
      <c r="C691" s="240"/>
    </row>
    <row r="692" spans="2:3" ht="15.75" customHeight="1" x14ac:dyDescent="0.2">
      <c r="B692" s="240"/>
      <c r="C692" s="240"/>
    </row>
    <row r="693" spans="2:3" ht="15.75" customHeight="1" x14ac:dyDescent="0.2">
      <c r="B693" s="240"/>
      <c r="C693" s="240"/>
    </row>
    <row r="694" spans="2:3" ht="15.75" customHeight="1" x14ac:dyDescent="0.2">
      <c r="B694" s="240"/>
      <c r="C694" s="240"/>
    </row>
    <row r="695" spans="2:3" ht="15.75" customHeight="1" x14ac:dyDescent="0.2">
      <c r="B695" s="240"/>
      <c r="C695" s="240"/>
    </row>
    <row r="696" spans="2:3" ht="15.75" customHeight="1" x14ac:dyDescent="0.2">
      <c r="B696" s="240"/>
      <c r="C696" s="240"/>
    </row>
    <row r="697" spans="2:3" ht="15.75" customHeight="1" x14ac:dyDescent="0.2">
      <c r="B697" s="240"/>
      <c r="C697" s="240"/>
    </row>
    <row r="698" spans="2:3" ht="15.75" customHeight="1" x14ac:dyDescent="0.2">
      <c r="B698" s="240"/>
      <c r="C698" s="240"/>
    </row>
    <row r="699" spans="2:3" ht="15.75" customHeight="1" x14ac:dyDescent="0.2">
      <c r="B699" s="240"/>
      <c r="C699" s="240"/>
    </row>
    <row r="700" spans="2:3" ht="15.75" customHeight="1" x14ac:dyDescent="0.2">
      <c r="B700" s="240"/>
      <c r="C700" s="240"/>
    </row>
    <row r="701" spans="2:3" ht="15.75" customHeight="1" x14ac:dyDescent="0.2">
      <c r="B701" s="240"/>
      <c r="C701" s="240"/>
    </row>
    <row r="702" spans="2:3" ht="15.75" customHeight="1" x14ac:dyDescent="0.2">
      <c r="B702" s="240"/>
      <c r="C702" s="240"/>
    </row>
    <row r="703" spans="2:3" ht="15.75" customHeight="1" x14ac:dyDescent="0.2">
      <c r="B703" s="240"/>
      <c r="C703" s="240"/>
    </row>
    <row r="704" spans="2:3" ht="15.75" customHeight="1" x14ac:dyDescent="0.2">
      <c r="B704" s="240"/>
      <c r="C704" s="240"/>
    </row>
    <row r="705" spans="2:3" ht="15.75" customHeight="1" x14ac:dyDescent="0.2">
      <c r="B705" s="240"/>
      <c r="C705" s="240"/>
    </row>
    <row r="706" spans="2:3" ht="15.75" customHeight="1" x14ac:dyDescent="0.2">
      <c r="B706" s="240"/>
      <c r="C706" s="240"/>
    </row>
    <row r="707" spans="2:3" ht="15.75" customHeight="1" x14ac:dyDescent="0.2">
      <c r="B707" s="240"/>
      <c r="C707" s="240"/>
    </row>
    <row r="708" spans="2:3" ht="15.75" customHeight="1" x14ac:dyDescent="0.2">
      <c r="B708" s="240"/>
      <c r="C708" s="240"/>
    </row>
    <row r="709" spans="2:3" ht="15.75" customHeight="1" x14ac:dyDescent="0.2">
      <c r="B709" s="240"/>
      <c r="C709" s="240"/>
    </row>
    <row r="710" spans="2:3" ht="15.75" customHeight="1" x14ac:dyDescent="0.2">
      <c r="B710" s="240"/>
      <c r="C710" s="240"/>
    </row>
    <row r="711" spans="2:3" ht="15.75" customHeight="1" x14ac:dyDescent="0.2">
      <c r="B711" s="240"/>
      <c r="C711" s="240"/>
    </row>
    <row r="712" spans="2:3" ht="15.75" customHeight="1" x14ac:dyDescent="0.2">
      <c r="B712" s="240"/>
      <c r="C712" s="240"/>
    </row>
    <row r="713" spans="2:3" ht="15.75" customHeight="1" x14ac:dyDescent="0.2">
      <c r="B713" s="240"/>
      <c r="C713" s="240"/>
    </row>
    <row r="714" spans="2:3" ht="15.75" customHeight="1" x14ac:dyDescent="0.2">
      <c r="B714" s="240"/>
      <c r="C714" s="240"/>
    </row>
    <row r="715" spans="2:3" ht="15.75" customHeight="1" x14ac:dyDescent="0.2">
      <c r="B715" s="240"/>
      <c r="C715" s="240"/>
    </row>
    <row r="716" spans="2:3" ht="15.75" customHeight="1" x14ac:dyDescent="0.2">
      <c r="B716" s="240"/>
      <c r="C716" s="240"/>
    </row>
    <row r="717" spans="2:3" ht="15.75" customHeight="1" x14ac:dyDescent="0.2">
      <c r="B717" s="240"/>
      <c r="C717" s="240"/>
    </row>
    <row r="718" spans="2:3" ht="15.75" customHeight="1" x14ac:dyDescent="0.2">
      <c r="B718" s="240"/>
      <c r="C718" s="240"/>
    </row>
    <row r="719" spans="2:3" ht="15.75" customHeight="1" x14ac:dyDescent="0.2">
      <c r="B719" s="240"/>
      <c r="C719" s="240"/>
    </row>
    <row r="720" spans="2:3" ht="15.75" customHeight="1" x14ac:dyDescent="0.2">
      <c r="B720" s="240"/>
      <c r="C720" s="240"/>
    </row>
    <row r="721" spans="2:3" ht="15.75" customHeight="1" x14ac:dyDescent="0.2">
      <c r="B721" s="240"/>
      <c r="C721" s="240"/>
    </row>
    <row r="722" spans="2:3" ht="15.75" customHeight="1" x14ac:dyDescent="0.2">
      <c r="B722" s="240"/>
      <c r="C722" s="240"/>
    </row>
    <row r="723" spans="2:3" ht="15.75" customHeight="1" x14ac:dyDescent="0.2">
      <c r="B723" s="240"/>
      <c r="C723" s="240"/>
    </row>
    <row r="724" spans="2:3" ht="15.75" customHeight="1" x14ac:dyDescent="0.2">
      <c r="B724" s="240"/>
      <c r="C724" s="240"/>
    </row>
    <row r="725" spans="2:3" ht="15.75" customHeight="1" x14ac:dyDescent="0.2">
      <c r="B725" s="240"/>
      <c r="C725" s="240"/>
    </row>
    <row r="726" spans="2:3" ht="15.75" customHeight="1" x14ac:dyDescent="0.2">
      <c r="B726" s="240"/>
      <c r="C726" s="240"/>
    </row>
    <row r="727" spans="2:3" ht="15.75" customHeight="1" x14ac:dyDescent="0.2">
      <c r="B727" s="240"/>
      <c r="C727" s="240"/>
    </row>
    <row r="728" spans="2:3" ht="15.75" customHeight="1" x14ac:dyDescent="0.2">
      <c r="B728" s="240"/>
      <c r="C728" s="240"/>
    </row>
    <row r="729" spans="2:3" ht="15.75" customHeight="1" x14ac:dyDescent="0.2">
      <c r="B729" s="240"/>
      <c r="C729" s="240"/>
    </row>
    <row r="730" spans="2:3" ht="15.75" customHeight="1" x14ac:dyDescent="0.2">
      <c r="B730" s="240"/>
      <c r="C730" s="240"/>
    </row>
    <row r="731" spans="2:3" ht="15.75" customHeight="1" x14ac:dyDescent="0.2">
      <c r="B731" s="240"/>
      <c r="C731" s="240"/>
    </row>
    <row r="732" spans="2:3" ht="15.75" customHeight="1" x14ac:dyDescent="0.2">
      <c r="B732" s="240"/>
      <c r="C732" s="240"/>
    </row>
    <row r="733" spans="2:3" ht="15.75" customHeight="1" x14ac:dyDescent="0.2">
      <c r="B733" s="240"/>
      <c r="C733" s="240"/>
    </row>
    <row r="734" spans="2:3" ht="15.75" customHeight="1" x14ac:dyDescent="0.2">
      <c r="B734" s="240"/>
      <c r="C734" s="240"/>
    </row>
    <row r="735" spans="2:3" ht="15.75" customHeight="1" x14ac:dyDescent="0.2">
      <c r="B735" s="240"/>
      <c r="C735" s="240"/>
    </row>
    <row r="736" spans="2:3" ht="15.75" customHeight="1" x14ac:dyDescent="0.2">
      <c r="B736" s="240"/>
      <c r="C736" s="240"/>
    </row>
    <row r="737" spans="2:3" ht="15.75" customHeight="1" x14ac:dyDescent="0.2">
      <c r="B737" s="240"/>
      <c r="C737" s="240"/>
    </row>
    <row r="738" spans="2:3" ht="15.75" customHeight="1" x14ac:dyDescent="0.2">
      <c r="B738" s="240"/>
      <c r="C738" s="240"/>
    </row>
    <row r="739" spans="2:3" ht="15.75" customHeight="1" x14ac:dyDescent="0.2">
      <c r="B739" s="240"/>
      <c r="C739" s="240"/>
    </row>
    <row r="740" spans="2:3" ht="15.75" customHeight="1" x14ac:dyDescent="0.2">
      <c r="B740" s="240"/>
      <c r="C740" s="240"/>
    </row>
    <row r="741" spans="2:3" ht="15.75" customHeight="1" x14ac:dyDescent="0.2">
      <c r="B741" s="240"/>
      <c r="C741" s="240"/>
    </row>
    <row r="742" spans="2:3" ht="15.75" customHeight="1" x14ac:dyDescent="0.2">
      <c r="B742" s="240"/>
      <c r="C742" s="240"/>
    </row>
    <row r="743" spans="2:3" ht="15.75" customHeight="1" x14ac:dyDescent="0.2">
      <c r="B743" s="240"/>
      <c r="C743" s="240"/>
    </row>
    <row r="744" spans="2:3" ht="15.75" customHeight="1" x14ac:dyDescent="0.2">
      <c r="B744" s="240"/>
      <c r="C744" s="240"/>
    </row>
    <row r="745" spans="2:3" ht="15.75" customHeight="1" x14ac:dyDescent="0.2">
      <c r="B745" s="240"/>
      <c r="C745" s="240"/>
    </row>
    <row r="746" spans="2:3" ht="15.75" customHeight="1" x14ac:dyDescent="0.2">
      <c r="B746" s="240"/>
      <c r="C746" s="240"/>
    </row>
    <row r="747" spans="2:3" ht="15.75" customHeight="1" x14ac:dyDescent="0.2">
      <c r="B747" s="240"/>
      <c r="C747" s="240"/>
    </row>
    <row r="748" spans="2:3" ht="15.75" customHeight="1" x14ac:dyDescent="0.2">
      <c r="B748" s="240"/>
      <c r="C748" s="240"/>
    </row>
    <row r="749" spans="2:3" ht="15.75" customHeight="1" x14ac:dyDescent="0.2">
      <c r="B749" s="240"/>
      <c r="C749" s="240"/>
    </row>
    <row r="750" spans="2:3" ht="15.75" customHeight="1" x14ac:dyDescent="0.2">
      <c r="B750" s="240"/>
      <c r="C750" s="240"/>
    </row>
    <row r="751" spans="2:3" ht="15.75" customHeight="1" x14ac:dyDescent="0.2">
      <c r="B751" s="240"/>
      <c r="C751" s="240"/>
    </row>
    <row r="752" spans="2:3" ht="15.75" customHeight="1" x14ac:dyDescent="0.2">
      <c r="B752" s="240"/>
      <c r="C752" s="240"/>
    </row>
    <row r="753" spans="2:3" ht="15.75" customHeight="1" x14ac:dyDescent="0.2">
      <c r="B753" s="240"/>
      <c r="C753" s="240"/>
    </row>
    <row r="754" spans="2:3" ht="15.75" customHeight="1" x14ac:dyDescent="0.2">
      <c r="B754" s="240"/>
      <c r="C754" s="240"/>
    </row>
    <row r="755" spans="2:3" ht="15.75" customHeight="1" x14ac:dyDescent="0.2">
      <c r="B755" s="240"/>
      <c r="C755" s="240"/>
    </row>
    <row r="756" spans="2:3" ht="15.75" customHeight="1" x14ac:dyDescent="0.2">
      <c r="B756" s="240"/>
      <c r="C756" s="240"/>
    </row>
    <row r="757" spans="2:3" ht="15.75" customHeight="1" x14ac:dyDescent="0.2">
      <c r="B757" s="240"/>
      <c r="C757" s="240"/>
    </row>
    <row r="758" spans="2:3" ht="15.75" customHeight="1" x14ac:dyDescent="0.2">
      <c r="B758" s="240"/>
      <c r="C758" s="240"/>
    </row>
    <row r="759" spans="2:3" ht="15.75" customHeight="1" x14ac:dyDescent="0.2">
      <c r="B759" s="240"/>
      <c r="C759" s="240"/>
    </row>
    <row r="760" spans="2:3" ht="15.75" customHeight="1" x14ac:dyDescent="0.2">
      <c r="B760" s="240"/>
      <c r="C760" s="240"/>
    </row>
    <row r="761" spans="2:3" ht="15.75" customHeight="1" x14ac:dyDescent="0.2">
      <c r="B761" s="240"/>
      <c r="C761" s="240"/>
    </row>
    <row r="762" spans="2:3" ht="15.75" customHeight="1" x14ac:dyDescent="0.2">
      <c r="B762" s="240"/>
      <c r="C762" s="240"/>
    </row>
    <row r="763" spans="2:3" ht="15.75" customHeight="1" x14ac:dyDescent="0.2">
      <c r="B763" s="240"/>
      <c r="C763" s="240"/>
    </row>
    <row r="764" spans="2:3" ht="15.75" customHeight="1" x14ac:dyDescent="0.2">
      <c r="B764" s="240"/>
      <c r="C764" s="240"/>
    </row>
    <row r="765" spans="2:3" ht="15.75" customHeight="1" x14ac:dyDescent="0.2">
      <c r="B765" s="240"/>
      <c r="C765" s="240"/>
    </row>
    <row r="766" spans="2:3" ht="15.75" customHeight="1" x14ac:dyDescent="0.2">
      <c r="B766" s="240"/>
      <c r="C766" s="240"/>
    </row>
    <row r="767" spans="2:3" ht="15.75" customHeight="1" x14ac:dyDescent="0.2">
      <c r="B767" s="240"/>
      <c r="C767" s="240"/>
    </row>
    <row r="768" spans="2:3" ht="15.75" customHeight="1" x14ac:dyDescent="0.2">
      <c r="B768" s="240"/>
      <c r="C768" s="240"/>
    </row>
    <row r="769" spans="2:3" ht="15.75" customHeight="1" x14ac:dyDescent="0.2">
      <c r="B769" s="240"/>
      <c r="C769" s="240"/>
    </row>
    <row r="770" spans="2:3" ht="15.75" customHeight="1" x14ac:dyDescent="0.2">
      <c r="B770" s="240"/>
      <c r="C770" s="240"/>
    </row>
    <row r="771" spans="2:3" ht="15.75" customHeight="1" x14ac:dyDescent="0.2">
      <c r="B771" s="240"/>
      <c r="C771" s="240"/>
    </row>
    <row r="772" spans="2:3" ht="15.75" customHeight="1" x14ac:dyDescent="0.2">
      <c r="B772" s="240"/>
      <c r="C772" s="240"/>
    </row>
    <row r="773" spans="2:3" ht="15.75" customHeight="1" x14ac:dyDescent="0.2">
      <c r="B773" s="240"/>
      <c r="C773" s="240"/>
    </row>
    <row r="774" spans="2:3" ht="15.75" customHeight="1" x14ac:dyDescent="0.2">
      <c r="B774" s="240"/>
      <c r="C774" s="240"/>
    </row>
    <row r="775" spans="2:3" ht="15.75" customHeight="1" x14ac:dyDescent="0.2">
      <c r="B775" s="240"/>
      <c r="C775" s="240"/>
    </row>
    <row r="776" spans="2:3" ht="15.75" customHeight="1" x14ac:dyDescent="0.2">
      <c r="B776" s="240"/>
      <c r="C776" s="240"/>
    </row>
    <row r="777" spans="2:3" ht="15.75" customHeight="1" x14ac:dyDescent="0.2">
      <c r="B777" s="240"/>
      <c r="C777" s="240"/>
    </row>
    <row r="778" spans="2:3" ht="15.75" customHeight="1" x14ac:dyDescent="0.2">
      <c r="B778" s="240"/>
      <c r="C778" s="240"/>
    </row>
    <row r="779" spans="2:3" ht="15.75" customHeight="1" x14ac:dyDescent="0.2">
      <c r="B779" s="240"/>
      <c r="C779" s="240"/>
    </row>
    <row r="780" spans="2:3" ht="15.75" customHeight="1" x14ac:dyDescent="0.2">
      <c r="B780" s="240"/>
      <c r="C780" s="240"/>
    </row>
    <row r="781" spans="2:3" ht="15.75" customHeight="1" x14ac:dyDescent="0.2">
      <c r="B781" s="240"/>
      <c r="C781" s="240"/>
    </row>
    <row r="782" spans="2:3" ht="15.75" customHeight="1" x14ac:dyDescent="0.2">
      <c r="B782" s="240"/>
      <c r="C782" s="240"/>
    </row>
    <row r="783" spans="2:3" ht="15.75" customHeight="1" x14ac:dyDescent="0.2">
      <c r="B783" s="240"/>
      <c r="C783" s="240"/>
    </row>
    <row r="784" spans="2:3" ht="15.75" customHeight="1" x14ac:dyDescent="0.2">
      <c r="B784" s="240"/>
      <c r="C784" s="240"/>
    </row>
    <row r="785" spans="2:3" ht="15.75" customHeight="1" x14ac:dyDescent="0.2">
      <c r="B785" s="240"/>
      <c r="C785" s="240"/>
    </row>
    <row r="786" spans="2:3" ht="15.75" customHeight="1" x14ac:dyDescent="0.2">
      <c r="B786" s="240"/>
      <c r="C786" s="240"/>
    </row>
    <row r="787" spans="2:3" ht="15.75" customHeight="1" x14ac:dyDescent="0.2">
      <c r="B787" s="240"/>
      <c r="C787" s="240"/>
    </row>
    <row r="788" spans="2:3" ht="15.75" customHeight="1" x14ac:dyDescent="0.2">
      <c r="B788" s="240"/>
      <c r="C788" s="240"/>
    </row>
    <row r="789" spans="2:3" ht="15.75" customHeight="1" x14ac:dyDescent="0.2">
      <c r="B789" s="240"/>
      <c r="C789" s="240"/>
    </row>
    <row r="790" spans="2:3" ht="15.75" customHeight="1" x14ac:dyDescent="0.2">
      <c r="B790" s="240"/>
      <c r="C790" s="240"/>
    </row>
    <row r="791" spans="2:3" ht="15.75" customHeight="1" x14ac:dyDescent="0.2">
      <c r="B791" s="240"/>
      <c r="C791" s="240"/>
    </row>
    <row r="792" spans="2:3" ht="15.75" customHeight="1" x14ac:dyDescent="0.2">
      <c r="B792" s="240"/>
      <c r="C792" s="240"/>
    </row>
    <row r="793" spans="2:3" ht="15.75" customHeight="1" x14ac:dyDescent="0.2">
      <c r="B793" s="240"/>
      <c r="C793" s="240"/>
    </row>
    <row r="794" spans="2:3" ht="15.75" customHeight="1" x14ac:dyDescent="0.2">
      <c r="B794" s="240"/>
      <c r="C794" s="240"/>
    </row>
    <row r="795" spans="2:3" ht="15.75" customHeight="1" x14ac:dyDescent="0.2">
      <c r="B795" s="240"/>
      <c r="C795" s="240"/>
    </row>
    <row r="796" spans="2:3" ht="15.75" customHeight="1" x14ac:dyDescent="0.2">
      <c r="B796" s="240"/>
      <c r="C796" s="240"/>
    </row>
    <row r="797" spans="2:3" ht="15.75" customHeight="1" x14ac:dyDescent="0.2">
      <c r="B797" s="240"/>
      <c r="C797" s="240"/>
    </row>
    <row r="798" spans="2:3" ht="15.75" customHeight="1" x14ac:dyDescent="0.2">
      <c r="B798" s="240"/>
      <c r="C798" s="240"/>
    </row>
    <row r="799" spans="2:3" ht="15.75" customHeight="1" x14ac:dyDescent="0.2">
      <c r="B799" s="240"/>
      <c r="C799" s="240"/>
    </row>
    <row r="800" spans="2:3" ht="15.75" customHeight="1" x14ac:dyDescent="0.2">
      <c r="B800" s="240"/>
      <c r="C800" s="240"/>
    </row>
    <row r="801" spans="2:3" ht="15.75" customHeight="1" x14ac:dyDescent="0.2">
      <c r="B801" s="240"/>
      <c r="C801" s="240"/>
    </row>
    <row r="802" spans="2:3" ht="15.75" customHeight="1" x14ac:dyDescent="0.2">
      <c r="B802" s="240"/>
      <c r="C802" s="240"/>
    </row>
    <row r="803" spans="2:3" ht="15.75" customHeight="1" x14ac:dyDescent="0.2">
      <c r="B803" s="240"/>
      <c r="C803" s="240"/>
    </row>
    <row r="804" spans="2:3" ht="15.75" customHeight="1" x14ac:dyDescent="0.2">
      <c r="B804" s="240"/>
      <c r="C804" s="240"/>
    </row>
    <row r="805" spans="2:3" ht="15.75" customHeight="1" x14ac:dyDescent="0.2">
      <c r="B805" s="240"/>
      <c r="C805" s="240"/>
    </row>
    <row r="806" spans="2:3" ht="15.75" customHeight="1" x14ac:dyDescent="0.2">
      <c r="B806" s="240"/>
      <c r="C806" s="240"/>
    </row>
    <row r="807" spans="2:3" ht="15.75" customHeight="1" x14ac:dyDescent="0.2">
      <c r="B807" s="240"/>
      <c r="C807" s="240"/>
    </row>
    <row r="808" spans="2:3" ht="15.75" customHeight="1" x14ac:dyDescent="0.2">
      <c r="B808" s="240"/>
      <c r="C808" s="240"/>
    </row>
    <row r="809" spans="2:3" ht="15.75" customHeight="1" x14ac:dyDescent="0.2">
      <c r="B809" s="240"/>
      <c r="C809" s="240"/>
    </row>
    <row r="810" spans="2:3" ht="15.75" customHeight="1" x14ac:dyDescent="0.2">
      <c r="B810" s="240"/>
      <c r="C810" s="240"/>
    </row>
    <row r="811" spans="2:3" ht="15.75" customHeight="1" x14ac:dyDescent="0.2">
      <c r="B811" s="240"/>
      <c r="C811" s="240"/>
    </row>
    <row r="812" spans="2:3" ht="15.75" customHeight="1" x14ac:dyDescent="0.2">
      <c r="B812" s="240"/>
      <c r="C812" s="240"/>
    </row>
    <row r="813" spans="2:3" ht="15.75" customHeight="1" x14ac:dyDescent="0.2">
      <c r="B813" s="240"/>
      <c r="C813" s="240"/>
    </row>
    <row r="814" spans="2:3" ht="15.75" customHeight="1" x14ac:dyDescent="0.2">
      <c r="B814" s="240"/>
      <c r="C814" s="240"/>
    </row>
    <row r="815" spans="2:3" ht="15.75" customHeight="1" x14ac:dyDescent="0.2">
      <c r="B815" s="240"/>
      <c r="C815" s="240"/>
    </row>
    <row r="816" spans="2:3" ht="15.75" customHeight="1" x14ac:dyDescent="0.2">
      <c r="B816" s="240"/>
      <c r="C816" s="240"/>
    </row>
    <row r="817" spans="2:3" ht="15.75" customHeight="1" x14ac:dyDescent="0.2">
      <c r="B817" s="240"/>
      <c r="C817" s="240"/>
    </row>
    <row r="818" spans="2:3" ht="15.75" customHeight="1" x14ac:dyDescent="0.2">
      <c r="B818" s="240"/>
      <c r="C818" s="240"/>
    </row>
    <row r="819" spans="2:3" ht="15.75" customHeight="1" x14ac:dyDescent="0.2">
      <c r="B819" s="240"/>
      <c r="C819" s="240"/>
    </row>
    <row r="820" spans="2:3" ht="15.75" customHeight="1" x14ac:dyDescent="0.2">
      <c r="B820" s="240"/>
      <c r="C820" s="240"/>
    </row>
    <row r="821" spans="2:3" ht="15.75" customHeight="1" x14ac:dyDescent="0.2">
      <c r="B821" s="240"/>
      <c r="C821" s="240"/>
    </row>
    <row r="822" spans="2:3" ht="15.75" customHeight="1" x14ac:dyDescent="0.2">
      <c r="B822" s="240"/>
      <c r="C822" s="240"/>
    </row>
    <row r="823" spans="2:3" ht="15.75" customHeight="1" x14ac:dyDescent="0.2">
      <c r="B823" s="240"/>
      <c r="C823" s="240"/>
    </row>
    <row r="824" spans="2:3" ht="15.75" customHeight="1" x14ac:dyDescent="0.2">
      <c r="B824" s="240"/>
      <c r="C824" s="240"/>
    </row>
    <row r="825" spans="2:3" ht="15.75" customHeight="1" x14ac:dyDescent="0.2">
      <c r="B825" s="240"/>
      <c r="C825" s="240"/>
    </row>
    <row r="826" spans="2:3" ht="15.75" customHeight="1" x14ac:dyDescent="0.2">
      <c r="B826" s="240"/>
      <c r="C826" s="240"/>
    </row>
    <row r="827" spans="2:3" ht="15.75" customHeight="1" x14ac:dyDescent="0.2">
      <c r="B827" s="240"/>
      <c r="C827" s="240"/>
    </row>
    <row r="828" spans="2:3" ht="15.75" customHeight="1" x14ac:dyDescent="0.2">
      <c r="B828" s="240"/>
      <c r="C828" s="240"/>
    </row>
    <row r="829" spans="2:3" ht="15.75" customHeight="1" x14ac:dyDescent="0.2">
      <c r="B829" s="240"/>
      <c r="C829" s="240"/>
    </row>
    <row r="830" spans="2:3" ht="15.75" customHeight="1" x14ac:dyDescent="0.2">
      <c r="B830" s="240"/>
      <c r="C830" s="240"/>
    </row>
    <row r="831" spans="2:3" ht="15.75" customHeight="1" x14ac:dyDescent="0.2">
      <c r="B831" s="240"/>
      <c r="C831" s="240"/>
    </row>
    <row r="832" spans="2:3" ht="15.75" customHeight="1" x14ac:dyDescent="0.2">
      <c r="B832" s="240"/>
      <c r="C832" s="240"/>
    </row>
    <row r="833" spans="2:3" ht="15.75" customHeight="1" x14ac:dyDescent="0.2">
      <c r="B833" s="240"/>
      <c r="C833" s="240"/>
    </row>
    <row r="834" spans="2:3" ht="15.75" customHeight="1" x14ac:dyDescent="0.2">
      <c r="B834" s="240"/>
      <c r="C834" s="240"/>
    </row>
    <row r="835" spans="2:3" ht="15.75" customHeight="1" x14ac:dyDescent="0.2">
      <c r="B835" s="240"/>
      <c r="C835" s="240"/>
    </row>
    <row r="836" spans="2:3" ht="15.75" customHeight="1" x14ac:dyDescent="0.2">
      <c r="B836" s="240"/>
      <c r="C836" s="240"/>
    </row>
    <row r="837" spans="2:3" ht="15.75" customHeight="1" x14ac:dyDescent="0.2">
      <c r="B837" s="240"/>
      <c r="C837" s="240"/>
    </row>
    <row r="838" spans="2:3" ht="15.75" customHeight="1" x14ac:dyDescent="0.2">
      <c r="B838" s="240"/>
      <c r="C838" s="240"/>
    </row>
    <row r="839" spans="2:3" ht="15.75" customHeight="1" x14ac:dyDescent="0.2">
      <c r="B839" s="240"/>
      <c r="C839" s="240"/>
    </row>
    <row r="840" spans="2:3" ht="15.75" customHeight="1" x14ac:dyDescent="0.2">
      <c r="B840" s="240"/>
      <c r="C840" s="240"/>
    </row>
    <row r="841" spans="2:3" ht="15.75" customHeight="1" x14ac:dyDescent="0.2">
      <c r="B841" s="240"/>
      <c r="C841" s="240"/>
    </row>
    <row r="842" spans="2:3" ht="15.75" customHeight="1" x14ac:dyDescent="0.2">
      <c r="B842" s="240"/>
      <c r="C842" s="240"/>
    </row>
    <row r="843" spans="2:3" ht="15.75" customHeight="1" x14ac:dyDescent="0.2">
      <c r="B843" s="240"/>
      <c r="C843" s="240"/>
    </row>
    <row r="844" spans="2:3" ht="15.75" customHeight="1" x14ac:dyDescent="0.2">
      <c r="B844" s="240"/>
      <c r="C844" s="240"/>
    </row>
    <row r="845" spans="2:3" ht="15.75" customHeight="1" x14ac:dyDescent="0.2">
      <c r="B845" s="240"/>
      <c r="C845" s="240"/>
    </row>
    <row r="846" spans="2:3" ht="15.75" customHeight="1" x14ac:dyDescent="0.2">
      <c r="B846" s="240"/>
      <c r="C846" s="240"/>
    </row>
    <row r="847" spans="2:3" ht="15.75" customHeight="1" x14ac:dyDescent="0.2">
      <c r="B847" s="240"/>
      <c r="C847" s="240"/>
    </row>
    <row r="848" spans="2:3" ht="15.75" customHeight="1" x14ac:dyDescent="0.2">
      <c r="B848" s="240"/>
      <c r="C848" s="240"/>
    </row>
    <row r="849" spans="2:3" ht="15.75" customHeight="1" x14ac:dyDescent="0.2">
      <c r="B849" s="240"/>
      <c r="C849" s="240"/>
    </row>
    <row r="850" spans="2:3" ht="15.75" customHeight="1" x14ac:dyDescent="0.2">
      <c r="B850" s="240"/>
      <c r="C850" s="240"/>
    </row>
    <row r="851" spans="2:3" ht="15.75" customHeight="1" x14ac:dyDescent="0.2">
      <c r="B851" s="240"/>
      <c r="C851" s="240"/>
    </row>
    <row r="852" spans="2:3" ht="15.75" customHeight="1" x14ac:dyDescent="0.2">
      <c r="B852" s="240"/>
      <c r="C852" s="240"/>
    </row>
    <row r="853" spans="2:3" ht="15.75" customHeight="1" x14ac:dyDescent="0.2">
      <c r="B853" s="240"/>
      <c r="C853" s="240"/>
    </row>
    <row r="854" spans="2:3" ht="15.75" customHeight="1" x14ac:dyDescent="0.2">
      <c r="B854" s="240"/>
      <c r="C854" s="240"/>
    </row>
    <row r="855" spans="2:3" ht="15.75" customHeight="1" x14ac:dyDescent="0.2">
      <c r="B855" s="240"/>
      <c r="C855" s="240"/>
    </row>
    <row r="856" spans="2:3" ht="15.75" customHeight="1" x14ac:dyDescent="0.2">
      <c r="B856" s="240"/>
      <c r="C856" s="240"/>
    </row>
    <row r="857" spans="2:3" ht="15.75" customHeight="1" x14ac:dyDescent="0.2">
      <c r="B857" s="240"/>
      <c r="C857" s="240"/>
    </row>
    <row r="858" spans="2:3" ht="15.75" customHeight="1" x14ac:dyDescent="0.2">
      <c r="B858" s="240"/>
      <c r="C858" s="240"/>
    </row>
    <row r="859" spans="2:3" ht="15.75" customHeight="1" x14ac:dyDescent="0.2">
      <c r="B859" s="240"/>
      <c r="C859" s="240"/>
    </row>
    <row r="860" spans="2:3" ht="15.75" customHeight="1" x14ac:dyDescent="0.2">
      <c r="B860" s="240"/>
      <c r="C860" s="240"/>
    </row>
    <row r="861" spans="2:3" ht="15.75" customHeight="1" x14ac:dyDescent="0.2">
      <c r="B861" s="240"/>
      <c r="C861" s="240"/>
    </row>
    <row r="862" spans="2:3" ht="15.75" customHeight="1" x14ac:dyDescent="0.2">
      <c r="B862" s="240"/>
      <c r="C862" s="240"/>
    </row>
    <row r="863" spans="2:3" ht="15.75" customHeight="1" x14ac:dyDescent="0.2">
      <c r="B863" s="240"/>
      <c r="C863" s="240"/>
    </row>
    <row r="864" spans="2:3" ht="15.75" customHeight="1" x14ac:dyDescent="0.2">
      <c r="B864" s="240"/>
      <c r="C864" s="240"/>
    </row>
    <row r="865" spans="2:3" ht="15.75" customHeight="1" x14ac:dyDescent="0.2">
      <c r="B865" s="240"/>
      <c r="C865" s="240"/>
    </row>
    <row r="866" spans="2:3" ht="15.75" customHeight="1" x14ac:dyDescent="0.2">
      <c r="B866" s="240"/>
      <c r="C866" s="240"/>
    </row>
    <row r="867" spans="2:3" ht="15.75" customHeight="1" x14ac:dyDescent="0.2">
      <c r="B867" s="240"/>
      <c r="C867" s="240"/>
    </row>
    <row r="868" spans="2:3" ht="15.75" customHeight="1" x14ac:dyDescent="0.2">
      <c r="B868" s="240"/>
      <c r="C868" s="240"/>
    </row>
    <row r="869" spans="2:3" ht="15.75" customHeight="1" x14ac:dyDescent="0.2">
      <c r="B869" s="240"/>
      <c r="C869" s="240"/>
    </row>
    <row r="870" spans="2:3" ht="15.75" customHeight="1" x14ac:dyDescent="0.2">
      <c r="B870" s="240"/>
      <c r="C870" s="240"/>
    </row>
    <row r="871" spans="2:3" ht="15.75" customHeight="1" x14ac:dyDescent="0.2">
      <c r="B871" s="240"/>
      <c r="C871" s="240"/>
    </row>
    <row r="872" spans="2:3" ht="15.75" customHeight="1" x14ac:dyDescent="0.2">
      <c r="B872" s="240"/>
      <c r="C872" s="240"/>
    </row>
    <row r="873" spans="2:3" ht="15.75" customHeight="1" x14ac:dyDescent="0.2">
      <c r="B873" s="240"/>
      <c r="C873" s="240"/>
    </row>
    <row r="874" spans="2:3" ht="15.75" customHeight="1" x14ac:dyDescent="0.2">
      <c r="B874" s="240"/>
      <c r="C874" s="240"/>
    </row>
    <row r="875" spans="2:3" ht="15.75" customHeight="1" x14ac:dyDescent="0.2">
      <c r="B875" s="240"/>
      <c r="C875" s="240"/>
    </row>
    <row r="876" spans="2:3" ht="15.75" customHeight="1" x14ac:dyDescent="0.2">
      <c r="B876" s="240"/>
      <c r="C876" s="240"/>
    </row>
    <row r="877" spans="2:3" ht="15.75" customHeight="1" x14ac:dyDescent="0.2">
      <c r="B877" s="240"/>
      <c r="C877" s="240"/>
    </row>
    <row r="878" spans="2:3" ht="15.75" customHeight="1" x14ac:dyDescent="0.2">
      <c r="B878" s="240"/>
      <c r="C878" s="240"/>
    </row>
    <row r="879" spans="2:3" ht="15.75" customHeight="1" x14ac:dyDescent="0.2">
      <c r="B879" s="240"/>
      <c r="C879" s="240"/>
    </row>
    <row r="880" spans="2:3" ht="15.75" customHeight="1" x14ac:dyDescent="0.2">
      <c r="B880" s="240"/>
      <c r="C880" s="240"/>
    </row>
    <row r="881" spans="2:3" ht="15.75" customHeight="1" x14ac:dyDescent="0.2">
      <c r="B881" s="240"/>
      <c r="C881" s="240"/>
    </row>
    <row r="882" spans="2:3" ht="15.75" customHeight="1" x14ac:dyDescent="0.2">
      <c r="B882" s="240"/>
      <c r="C882" s="240"/>
    </row>
    <row r="883" spans="2:3" ht="15.75" customHeight="1" x14ac:dyDescent="0.2">
      <c r="B883" s="240"/>
      <c r="C883" s="240"/>
    </row>
    <row r="884" spans="2:3" ht="15.75" customHeight="1" x14ac:dyDescent="0.2">
      <c r="B884" s="240"/>
      <c r="C884" s="240"/>
    </row>
    <row r="885" spans="2:3" ht="15.75" customHeight="1" x14ac:dyDescent="0.2">
      <c r="B885" s="240"/>
      <c r="C885" s="240"/>
    </row>
    <row r="886" spans="2:3" ht="15.75" customHeight="1" x14ac:dyDescent="0.2">
      <c r="B886" s="240"/>
      <c r="C886" s="240"/>
    </row>
    <row r="887" spans="2:3" ht="15.75" customHeight="1" x14ac:dyDescent="0.2">
      <c r="B887" s="240"/>
      <c r="C887" s="240"/>
    </row>
    <row r="888" spans="2:3" ht="15.75" customHeight="1" x14ac:dyDescent="0.2">
      <c r="B888" s="240"/>
      <c r="C888" s="240"/>
    </row>
    <row r="889" spans="2:3" ht="15.75" customHeight="1" x14ac:dyDescent="0.2">
      <c r="B889" s="240"/>
      <c r="C889" s="240"/>
    </row>
    <row r="890" spans="2:3" ht="15.75" customHeight="1" x14ac:dyDescent="0.2">
      <c r="B890" s="240"/>
      <c r="C890" s="240"/>
    </row>
    <row r="891" spans="2:3" ht="15.75" customHeight="1" x14ac:dyDescent="0.2">
      <c r="B891" s="240"/>
      <c r="C891" s="240"/>
    </row>
    <row r="892" spans="2:3" ht="15.75" customHeight="1" x14ac:dyDescent="0.2">
      <c r="B892" s="240"/>
      <c r="C892" s="240"/>
    </row>
    <row r="893" spans="2:3" ht="15.75" customHeight="1" x14ac:dyDescent="0.2">
      <c r="B893" s="240"/>
      <c r="C893" s="240"/>
    </row>
    <row r="894" spans="2:3" ht="15.75" customHeight="1" x14ac:dyDescent="0.2">
      <c r="B894" s="240"/>
      <c r="C894" s="240"/>
    </row>
    <row r="895" spans="2:3" ht="15.75" customHeight="1" x14ac:dyDescent="0.2">
      <c r="B895" s="240"/>
      <c r="C895" s="240"/>
    </row>
    <row r="896" spans="2:3" ht="15.75" customHeight="1" x14ac:dyDescent="0.2">
      <c r="B896" s="240"/>
      <c r="C896" s="240"/>
    </row>
    <row r="897" spans="2:3" ht="15.75" customHeight="1" x14ac:dyDescent="0.2">
      <c r="B897" s="240"/>
      <c r="C897" s="240"/>
    </row>
    <row r="898" spans="2:3" ht="15.75" customHeight="1" x14ac:dyDescent="0.2">
      <c r="B898" s="240"/>
      <c r="C898" s="240"/>
    </row>
    <row r="899" spans="2:3" ht="15.75" customHeight="1" x14ac:dyDescent="0.2">
      <c r="B899" s="240"/>
      <c r="C899" s="240"/>
    </row>
    <row r="900" spans="2:3" ht="15.75" customHeight="1" x14ac:dyDescent="0.2">
      <c r="B900" s="240"/>
      <c r="C900" s="240"/>
    </row>
    <row r="901" spans="2:3" ht="15.75" customHeight="1" x14ac:dyDescent="0.2">
      <c r="B901" s="240"/>
      <c r="C901" s="240"/>
    </row>
    <row r="902" spans="2:3" ht="15.75" customHeight="1" x14ac:dyDescent="0.2">
      <c r="B902" s="240"/>
      <c r="C902" s="240"/>
    </row>
    <row r="903" spans="2:3" ht="15.75" customHeight="1" x14ac:dyDescent="0.2">
      <c r="B903" s="240"/>
      <c r="C903" s="240"/>
    </row>
    <row r="904" spans="2:3" ht="15.75" customHeight="1" x14ac:dyDescent="0.2">
      <c r="B904" s="240"/>
      <c r="C904" s="240"/>
    </row>
    <row r="905" spans="2:3" ht="15.75" customHeight="1" x14ac:dyDescent="0.2">
      <c r="B905" s="240"/>
      <c r="C905" s="240"/>
    </row>
    <row r="906" spans="2:3" ht="15.75" customHeight="1" x14ac:dyDescent="0.2">
      <c r="B906" s="240"/>
      <c r="C906" s="240"/>
    </row>
    <row r="907" spans="2:3" ht="15.75" customHeight="1" x14ac:dyDescent="0.2">
      <c r="B907" s="240"/>
      <c r="C907" s="240"/>
    </row>
    <row r="908" spans="2:3" ht="15.75" customHeight="1" x14ac:dyDescent="0.2">
      <c r="B908" s="240"/>
      <c r="C908" s="240"/>
    </row>
    <row r="909" spans="2:3" ht="15.75" customHeight="1" x14ac:dyDescent="0.2">
      <c r="B909" s="240"/>
      <c r="C909" s="240"/>
    </row>
    <row r="910" spans="2:3" ht="15.75" customHeight="1" x14ac:dyDescent="0.2">
      <c r="B910" s="240"/>
      <c r="C910" s="240"/>
    </row>
    <row r="911" spans="2:3" ht="15.75" customHeight="1" x14ac:dyDescent="0.2">
      <c r="B911" s="240"/>
      <c r="C911" s="240"/>
    </row>
    <row r="912" spans="2:3" ht="15.75" customHeight="1" x14ac:dyDescent="0.2">
      <c r="B912" s="240"/>
      <c r="C912" s="240"/>
    </row>
    <row r="913" spans="2:3" ht="15.75" customHeight="1" x14ac:dyDescent="0.2">
      <c r="B913" s="240"/>
      <c r="C913" s="240"/>
    </row>
    <row r="914" spans="2:3" ht="15.75" customHeight="1" x14ac:dyDescent="0.2">
      <c r="B914" s="240"/>
      <c r="C914" s="240"/>
    </row>
    <row r="915" spans="2:3" ht="15.75" customHeight="1" x14ac:dyDescent="0.2">
      <c r="B915" s="240"/>
      <c r="C915" s="240"/>
    </row>
    <row r="916" spans="2:3" ht="15.75" customHeight="1" x14ac:dyDescent="0.2">
      <c r="B916" s="240"/>
      <c r="C916" s="240"/>
    </row>
    <row r="917" spans="2:3" ht="15.75" customHeight="1" x14ac:dyDescent="0.2">
      <c r="B917" s="240"/>
      <c r="C917" s="240"/>
    </row>
    <row r="918" spans="2:3" ht="15.75" customHeight="1" x14ac:dyDescent="0.2">
      <c r="B918" s="240"/>
      <c r="C918" s="240"/>
    </row>
    <row r="919" spans="2:3" ht="15.75" customHeight="1" x14ac:dyDescent="0.2">
      <c r="B919" s="240"/>
      <c r="C919" s="240"/>
    </row>
    <row r="920" spans="2:3" ht="15.75" customHeight="1" x14ac:dyDescent="0.2">
      <c r="B920" s="240"/>
      <c r="C920" s="240"/>
    </row>
    <row r="921" spans="2:3" ht="15.75" customHeight="1" x14ac:dyDescent="0.2">
      <c r="B921" s="240"/>
      <c r="C921" s="240"/>
    </row>
    <row r="922" spans="2:3" ht="15.75" customHeight="1" x14ac:dyDescent="0.2">
      <c r="B922" s="240"/>
      <c r="C922" s="240"/>
    </row>
    <row r="923" spans="2:3" ht="15.75" customHeight="1" x14ac:dyDescent="0.2">
      <c r="B923" s="240"/>
      <c r="C923" s="240"/>
    </row>
    <row r="924" spans="2:3" ht="15.75" customHeight="1" x14ac:dyDescent="0.2">
      <c r="B924" s="240"/>
      <c r="C924" s="240"/>
    </row>
    <row r="925" spans="2:3" ht="15.75" customHeight="1" x14ac:dyDescent="0.2">
      <c r="B925" s="240"/>
      <c r="C925" s="240"/>
    </row>
    <row r="926" spans="2:3" ht="15.75" customHeight="1" x14ac:dyDescent="0.2">
      <c r="B926" s="240"/>
      <c r="C926" s="240"/>
    </row>
    <row r="927" spans="2:3" ht="15.75" customHeight="1" x14ac:dyDescent="0.2">
      <c r="B927" s="240"/>
      <c r="C927" s="240"/>
    </row>
    <row r="928" spans="2:3" ht="15.75" customHeight="1" x14ac:dyDescent="0.2">
      <c r="B928" s="240"/>
      <c r="C928" s="240"/>
    </row>
    <row r="929" spans="2:3" ht="15.75" customHeight="1" x14ac:dyDescent="0.2">
      <c r="B929" s="240"/>
      <c r="C929" s="240"/>
    </row>
    <row r="930" spans="2:3" ht="15.75" customHeight="1" x14ac:dyDescent="0.2">
      <c r="B930" s="240"/>
      <c r="C930" s="240"/>
    </row>
    <row r="931" spans="2:3" ht="15.75" customHeight="1" x14ac:dyDescent="0.2">
      <c r="B931" s="240"/>
      <c r="C931" s="240"/>
    </row>
    <row r="932" spans="2:3" ht="15.75" customHeight="1" x14ac:dyDescent="0.2">
      <c r="B932" s="240"/>
      <c r="C932" s="240"/>
    </row>
    <row r="933" spans="2:3" ht="15.75" customHeight="1" x14ac:dyDescent="0.2">
      <c r="B933" s="240"/>
      <c r="C933" s="240"/>
    </row>
    <row r="934" spans="2:3" ht="15.75" customHeight="1" x14ac:dyDescent="0.2">
      <c r="B934" s="240"/>
      <c r="C934" s="240"/>
    </row>
    <row r="935" spans="2:3" ht="15.75" customHeight="1" x14ac:dyDescent="0.2">
      <c r="B935" s="240"/>
      <c r="C935" s="240"/>
    </row>
    <row r="936" spans="2:3" ht="15.75" customHeight="1" x14ac:dyDescent="0.2">
      <c r="B936" s="240"/>
      <c r="C936" s="240"/>
    </row>
    <row r="937" spans="2:3" ht="15.75" customHeight="1" x14ac:dyDescent="0.2">
      <c r="B937" s="240"/>
      <c r="C937" s="240"/>
    </row>
    <row r="938" spans="2:3" ht="15.75" customHeight="1" x14ac:dyDescent="0.2">
      <c r="B938" s="240"/>
      <c r="C938" s="240"/>
    </row>
    <row r="939" spans="2:3" ht="15.75" customHeight="1" x14ac:dyDescent="0.2">
      <c r="B939" s="240"/>
      <c r="C939" s="240"/>
    </row>
    <row r="940" spans="2:3" ht="15.75" customHeight="1" x14ac:dyDescent="0.2">
      <c r="B940" s="240"/>
      <c r="C940" s="240"/>
    </row>
    <row r="941" spans="2:3" ht="15.75" customHeight="1" x14ac:dyDescent="0.2">
      <c r="B941" s="240"/>
      <c r="C941" s="240"/>
    </row>
    <row r="942" spans="2:3" ht="15.75" customHeight="1" x14ac:dyDescent="0.2">
      <c r="B942" s="240"/>
      <c r="C942" s="240"/>
    </row>
    <row r="943" spans="2:3" ht="15.75" customHeight="1" x14ac:dyDescent="0.2">
      <c r="B943" s="240"/>
      <c r="C943" s="240"/>
    </row>
    <row r="944" spans="2:3" ht="15.75" customHeight="1" x14ac:dyDescent="0.2">
      <c r="B944" s="240"/>
      <c r="C944" s="240"/>
    </row>
    <row r="945" spans="2:3" ht="15.75" customHeight="1" x14ac:dyDescent="0.2">
      <c r="B945" s="240"/>
      <c r="C945" s="240"/>
    </row>
    <row r="946" spans="2:3" ht="15.75" customHeight="1" x14ac:dyDescent="0.2">
      <c r="B946" s="240"/>
      <c r="C946" s="240"/>
    </row>
    <row r="947" spans="2:3" ht="15.75" customHeight="1" x14ac:dyDescent="0.2">
      <c r="B947" s="240"/>
      <c r="C947" s="240"/>
    </row>
    <row r="948" spans="2:3" ht="15.75" customHeight="1" x14ac:dyDescent="0.2">
      <c r="B948" s="240"/>
      <c r="C948" s="240"/>
    </row>
    <row r="949" spans="2:3" ht="15.75" customHeight="1" x14ac:dyDescent="0.2">
      <c r="B949" s="240"/>
      <c r="C949" s="240"/>
    </row>
    <row r="950" spans="2:3" ht="15.75" customHeight="1" x14ac:dyDescent="0.2">
      <c r="B950" s="240"/>
      <c r="C950" s="240"/>
    </row>
    <row r="951" spans="2:3" ht="15.75" customHeight="1" x14ac:dyDescent="0.2">
      <c r="B951" s="240"/>
      <c r="C951" s="240"/>
    </row>
    <row r="952" spans="2:3" ht="15.75" customHeight="1" x14ac:dyDescent="0.2">
      <c r="B952" s="240"/>
      <c r="C952" s="240"/>
    </row>
    <row r="953" spans="2:3" ht="15.75" customHeight="1" x14ac:dyDescent="0.2">
      <c r="B953" s="240"/>
      <c r="C953" s="240"/>
    </row>
    <row r="954" spans="2:3" ht="15.75" customHeight="1" x14ac:dyDescent="0.2">
      <c r="B954" s="240"/>
      <c r="C954" s="240"/>
    </row>
    <row r="955" spans="2:3" ht="15.75" customHeight="1" x14ac:dyDescent="0.2">
      <c r="B955" s="240"/>
      <c r="C955" s="240"/>
    </row>
    <row r="956" spans="2:3" ht="15.75" customHeight="1" x14ac:dyDescent="0.2">
      <c r="B956" s="240"/>
      <c r="C956" s="240"/>
    </row>
    <row r="957" spans="2:3" ht="15.75" customHeight="1" x14ac:dyDescent="0.2">
      <c r="B957" s="240"/>
      <c r="C957" s="240"/>
    </row>
    <row r="958" spans="2:3" ht="15.75" customHeight="1" x14ac:dyDescent="0.2">
      <c r="B958" s="240"/>
      <c r="C958" s="240"/>
    </row>
    <row r="959" spans="2:3" ht="15.75" customHeight="1" x14ac:dyDescent="0.2">
      <c r="B959" s="240"/>
      <c r="C959" s="240"/>
    </row>
    <row r="960" spans="2:3" ht="15.75" customHeight="1" x14ac:dyDescent="0.2">
      <c r="B960" s="240"/>
      <c r="C960" s="240"/>
    </row>
    <row r="961" spans="2:3" ht="15.75" customHeight="1" x14ac:dyDescent="0.2">
      <c r="B961" s="240"/>
      <c r="C961" s="240"/>
    </row>
    <row r="962" spans="2:3" ht="15.75" customHeight="1" x14ac:dyDescent="0.2">
      <c r="B962" s="240"/>
      <c r="C962" s="240"/>
    </row>
    <row r="963" spans="2:3" ht="15.75" customHeight="1" x14ac:dyDescent="0.2">
      <c r="B963" s="240"/>
      <c r="C963" s="240"/>
    </row>
    <row r="964" spans="2:3" ht="15.75" customHeight="1" x14ac:dyDescent="0.2">
      <c r="B964" s="240"/>
      <c r="C964" s="240"/>
    </row>
    <row r="965" spans="2:3" ht="15.75" customHeight="1" x14ac:dyDescent="0.2">
      <c r="B965" s="240"/>
      <c r="C965" s="240"/>
    </row>
    <row r="966" spans="2:3" ht="15.75" customHeight="1" x14ac:dyDescent="0.2">
      <c r="B966" s="240"/>
      <c r="C966" s="240"/>
    </row>
    <row r="967" spans="2:3" ht="15.75" customHeight="1" x14ac:dyDescent="0.2">
      <c r="B967" s="240"/>
      <c r="C967" s="240"/>
    </row>
    <row r="968" spans="2:3" ht="15.75" customHeight="1" x14ac:dyDescent="0.2">
      <c r="B968" s="240"/>
      <c r="C968" s="240"/>
    </row>
    <row r="969" spans="2:3" ht="15.75" customHeight="1" x14ac:dyDescent="0.2">
      <c r="B969" s="240"/>
      <c r="C969" s="240"/>
    </row>
    <row r="970" spans="2:3" ht="15.75" customHeight="1" x14ac:dyDescent="0.2">
      <c r="B970" s="240"/>
      <c r="C970" s="240"/>
    </row>
    <row r="971" spans="2:3" ht="15.75" customHeight="1" x14ac:dyDescent="0.2">
      <c r="B971" s="240"/>
      <c r="C971" s="240"/>
    </row>
    <row r="972" spans="2:3" ht="15.75" customHeight="1" x14ac:dyDescent="0.2">
      <c r="B972" s="240"/>
      <c r="C972" s="240"/>
    </row>
    <row r="973" spans="2:3" ht="15.75" customHeight="1" x14ac:dyDescent="0.2">
      <c r="B973" s="240"/>
      <c r="C973" s="240"/>
    </row>
    <row r="974" spans="2:3" ht="15.75" customHeight="1" x14ac:dyDescent="0.2">
      <c r="B974" s="240"/>
      <c r="C974" s="240"/>
    </row>
    <row r="975" spans="2:3" ht="15.75" customHeight="1" x14ac:dyDescent="0.2">
      <c r="B975" s="240"/>
      <c r="C975" s="240"/>
    </row>
    <row r="976" spans="2:3" ht="15.75" customHeight="1" x14ac:dyDescent="0.2">
      <c r="B976" s="240"/>
      <c r="C976" s="240"/>
    </row>
    <row r="977" spans="2:3" ht="15.75" customHeight="1" x14ac:dyDescent="0.2">
      <c r="B977" s="240"/>
      <c r="C977" s="240"/>
    </row>
    <row r="978" spans="2:3" ht="15.75" customHeight="1" x14ac:dyDescent="0.2">
      <c r="B978" s="240"/>
      <c r="C978" s="240"/>
    </row>
    <row r="979" spans="2:3" ht="15.75" customHeight="1" x14ac:dyDescent="0.2">
      <c r="B979" s="240"/>
      <c r="C979" s="240"/>
    </row>
    <row r="980" spans="2:3" ht="15.75" customHeight="1" x14ac:dyDescent="0.2">
      <c r="B980" s="240"/>
      <c r="C980" s="240"/>
    </row>
    <row r="981" spans="2:3" ht="15.75" customHeight="1" x14ac:dyDescent="0.2">
      <c r="B981" s="240"/>
      <c r="C981" s="240"/>
    </row>
    <row r="982" spans="2:3" ht="15.75" customHeight="1" x14ac:dyDescent="0.2">
      <c r="B982" s="240"/>
      <c r="C982" s="240"/>
    </row>
    <row r="983" spans="2:3" ht="15.75" customHeight="1" x14ac:dyDescent="0.2">
      <c r="B983" s="240"/>
      <c r="C983" s="240"/>
    </row>
    <row r="984" spans="2:3" ht="15.75" customHeight="1" x14ac:dyDescent="0.2">
      <c r="B984" s="240"/>
      <c r="C984" s="240"/>
    </row>
    <row r="985" spans="2:3" ht="15.75" customHeight="1" x14ac:dyDescent="0.2">
      <c r="B985" s="240"/>
      <c r="C985" s="240"/>
    </row>
    <row r="986" spans="2:3" ht="15.75" customHeight="1" x14ac:dyDescent="0.2">
      <c r="B986" s="240"/>
      <c r="C986" s="240"/>
    </row>
    <row r="987" spans="2:3" ht="15.75" customHeight="1" x14ac:dyDescent="0.2">
      <c r="B987" s="240"/>
      <c r="C987" s="240"/>
    </row>
    <row r="988" spans="2:3" ht="15.75" customHeight="1" x14ac:dyDescent="0.2">
      <c r="B988" s="240"/>
      <c r="C988" s="240"/>
    </row>
    <row r="989" spans="2:3" ht="15.75" customHeight="1" x14ac:dyDescent="0.2">
      <c r="B989" s="240"/>
      <c r="C989" s="240"/>
    </row>
    <row r="990" spans="2:3" ht="15.75" customHeight="1" x14ac:dyDescent="0.2">
      <c r="B990" s="240"/>
      <c r="C990" s="240"/>
    </row>
    <row r="991" spans="2:3" ht="15.75" customHeight="1" x14ac:dyDescent="0.2">
      <c r="B991" s="240"/>
      <c r="C991" s="240"/>
    </row>
    <row r="992" spans="2:3" ht="15.75" customHeight="1" x14ac:dyDescent="0.2">
      <c r="B992" s="240"/>
      <c r="C992" s="240"/>
    </row>
    <row r="993" spans="2:3" ht="15.75" customHeight="1" x14ac:dyDescent="0.2">
      <c r="B993" s="240"/>
      <c r="C993" s="240"/>
    </row>
    <row r="994" spans="2:3" ht="15.75" customHeight="1" x14ac:dyDescent="0.2">
      <c r="B994" s="240"/>
      <c r="C994" s="240"/>
    </row>
    <row r="995" spans="2:3" ht="15.75" customHeight="1" x14ac:dyDescent="0.2">
      <c r="B995" s="240"/>
      <c r="C995" s="240"/>
    </row>
    <row r="996" spans="2:3" ht="15.75" customHeight="1" x14ac:dyDescent="0.2">
      <c r="B996" s="240"/>
      <c r="C996" s="240"/>
    </row>
    <row r="997" spans="2:3" ht="15.75" customHeight="1" x14ac:dyDescent="0.2">
      <c r="B997" s="240"/>
      <c r="C997" s="240"/>
    </row>
    <row r="998" spans="2:3" ht="15.75" customHeight="1" x14ac:dyDescent="0.2"/>
    <row r="999" spans="2:3" ht="15.75" customHeight="1" x14ac:dyDescent="0.2"/>
    <row r="1000" spans="2:3" ht="15.75" customHeight="1" x14ac:dyDescent="0.2"/>
  </sheetData>
  <autoFilter ref="E11:G114" xr:uid="{00000000-0009-0000-0000-00000C000000}"/>
  <mergeCells count="11">
    <mergeCell ref="L27:N27"/>
    <mergeCell ref="I21:J21"/>
    <mergeCell ref="I26:J26"/>
    <mergeCell ref="B2:N2"/>
    <mergeCell ref="L16:N16"/>
    <mergeCell ref="L11:N11"/>
    <mergeCell ref="L21:N21"/>
    <mergeCell ref="L4:M4"/>
    <mergeCell ref="B4:C4"/>
    <mergeCell ref="I11:J11"/>
    <mergeCell ref="L26:N26"/>
  </mergeCells>
  <conditionalFormatting sqref="F8">
    <cfRule type="cellIs" dxfId="23" priority="4" operator="greaterThan">
      <formula>300</formula>
    </cfRule>
    <cfRule type="cellIs" dxfId="22" priority="5" operator="between">
      <formula>1</formula>
      <formula>300</formula>
    </cfRule>
    <cfRule type="cellIs" dxfId="21" priority="6" operator="lessThan">
      <formula>0</formula>
    </cfRule>
  </conditionalFormatting>
  <conditionalFormatting sqref="J9">
    <cfRule type="cellIs" dxfId="20" priority="1" operator="greaterThan">
      <formula>300</formula>
    </cfRule>
    <cfRule type="cellIs" dxfId="19" priority="2" operator="between">
      <formula>1</formula>
      <formula>300</formula>
    </cfRule>
    <cfRule type="cellIs" dxfId="18" priority="3" operator="lessThan">
      <formula>0</formula>
    </cfRule>
  </conditionalFormatting>
  <printOptions horizontalCentered="1"/>
  <pageMargins left="0.4" right="0.4" top="0.4" bottom="0.4" header="0" footer="0"/>
  <pageSetup fitToHeight="0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114818A-1919-4F96-9CEE-F47C323E1554}">
          <x14:formula1>
            <xm:f>list!$A$1:$A$9</xm:f>
          </x14:formula1>
          <xm:sqref>G12:G264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4BCA-978A-4A72-B868-0BD0E5B938B7}">
  <dimension ref="B2:K12"/>
  <sheetViews>
    <sheetView zoomScale="130" zoomScaleNormal="130" workbookViewId="0">
      <selection activeCell="H5" sqref="H5"/>
    </sheetView>
  </sheetViews>
  <sheetFormatPr defaultRowHeight="12.75" x14ac:dyDescent="0.2"/>
  <cols>
    <col min="2" max="2" width="30" customWidth="1"/>
    <col min="3" max="3" width="12.5703125" style="213" customWidth="1"/>
    <col min="4" max="4" width="2.5703125" customWidth="1"/>
    <col min="5" max="5" width="31.42578125" bestFit="1" customWidth="1"/>
    <col min="6" max="6" width="14.42578125" customWidth="1"/>
    <col min="7" max="7" width="2.5703125" customWidth="1"/>
    <col min="8" max="8" width="17.7109375" bestFit="1" customWidth="1"/>
    <col min="9" max="9" width="16.42578125" bestFit="1" customWidth="1"/>
    <col min="10" max="10" width="14.28515625" customWidth="1"/>
  </cols>
  <sheetData>
    <row r="2" spans="2:11" ht="13.5" thickBot="1" x14ac:dyDescent="0.25"/>
    <row r="3" spans="2:11" ht="13.5" thickBot="1" x14ac:dyDescent="0.25">
      <c r="B3" s="426" t="s">
        <v>141</v>
      </c>
      <c r="C3" s="426"/>
      <c r="D3" s="215"/>
      <c r="E3" s="425" t="s">
        <v>116</v>
      </c>
      <c r="F3" s="425"/>
      <c r="H3" s="337" t="s">
        <v>34</v>
      </c>
      <c r="I3" s="338" t="s">
        <v>122</v>
      </c>
      <c r="J3" s="338" t="s">
        <v>41</v>
      </c>
      <c r="K3" s="339" t="s">
        <v>120</v>
      </c>
    </row>
    <row r="4" spans="2:11" ht="12.75" customHeight="1" thickBot="1" x14ac:dyDescent="0.25">
      <c r="F4" s="213"/>
      <c r="G4" s="215"/>
      <c r="H4" s="340">
        <v>450000</v>
      </c>
      <c r="I4" s="341">
        <f>H4-F5</f>
        <v>405000</v>
      </c>
      <c r="J4" s="342">
        <v>4.1500000000000002E-2</v>
      </c>
      <c r="K4" s="343">
        <v>35</v>
      </c>
    </row>
    <row r="5" spans="2:11" ht="13.5" thickBot="1" x14ac:dyDescent="0.25">
      <c r="B5" s="210" t="s">
        <v>113</v>
      </c>
      <c r="C5" s="213">
        <v>40000</v>
      </c>
      <c r="E5" s="211" t="s">
        <v>117</v>
      </c>
      <c r="F5" s="213">
        <f>H4*0.1</f>
        <v>45000</v>
      </c>
      <c r="H5" s="336"/>
      <c r="I5" s="344" t="s">
        <v>142</v>
      </c>
      <c r="J5" s="423">
        <f>-PMT(J4/12, K4*12, I4)</f>
        <v>1829.8577706755875</v>
      </c>
      <c r="K5" s="424"/>
    </row>
    <row r="6" spans="2:11" ht="15.75" customHeight="1" x14ac:dyDescent="0.2">
      <c r="B6" s="210" t="s">
        <v>1</v>
      </c>
      <c r="C6" s="213">
        <v>35000</v>
      </c>
      <c r="E6" s="211" t="s">
        <v>112</v>
      </c>
      <c r="F6" s="213">
        <f>0.05*MIN(H4,125000) + 0.07*MAX(0,MIN(H4-125000,125000)) + 0.1*MAX(0,MIN(H4-250000,675000)) + 0.15*MAX(0,MIN(H4-925000,575000)) + 0.17*MAX(0,H4-1500000)</f>
        <v>35000</v>
      </c>
    </row>
    <row r="7" spans="2:11" x14ac:dyDescent="0.2">
      <c r="B7" s="211" t="s">
        <v>115</v>
      </c>
      <c r="C7" s="213">
        <v>0</v>
      </c>
      <c r="E7" s="211" t="s">
        <v>118</v>
      </c>
      <c r="F7" s="213">
        <v>2000</v>
      </c>
    </row>
    <row r="8" spans="2:11" x14ac:dyDescent="0.2">
      <c r="B8" s="210" t="s">
        <v>114</v>
      </c>
      <c r="C8" s="213">
        <v>10000</v>
      </c>
      <c r="E8" s="211" t="s">
        <v>119</v>
      </c>
      <c r="F8" s="213">
        <v>1000</v>
      </c>
    </row>
    <row r="9" spans="2:11" x14ac:dyDescent="0.2">
      <c r="B9" s="210"/>
      <c r="E9" s="211" t="s">
        <v>121</v>
      </c>
      <c r="F9" s="213">
        <v>2000</v>
      </c>
    </row>
    <row r="10" spans="2:11" x14ac:dyDescent="0.2">
      <c r="B10" s="212" t="s">
        <v>34</v>
      </c>
      <c r="C10" s="213">
        <f>SUM(C5:C8)</f>
        <v>85000</v>
      </c>
      <c r="E10" s="211"/>
      <c r="F10" s="216"/>
    </row>
    <row r="12" spans="2:11" x14ac:dyDescent="0.2">
      <c r="B12" s="210" t="s">
        <v>77</v>
      </c>
      <c r="C12" s="213">
        <f>C10-F12</f>
        <v>0</v>
      </c>
      <c r="E12" s="212" t="s">
        <v>34</v>
      </c>
      <c r="F12" s="214">
        <f>SUM(F5:F10)</f>
        <v>85000</v>
      </c>
    </row>
  </sheetData>
  <mergeCells count="3">
    <mergeCell ref="J5:K5"/>
    <mergeCell ref="E3:F3"/>
    <mergeCell ref="B3:C3"/>
  </mergeCells>
  <conditionalFormatting sqref="C12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DE28-22E6-497A-B9F7-CDDAFE2B8F7E}">
  <sheetPr>
    <tabColor theme="5" tint="0.79998168889431442"/>
    <pageSetUpPr fitToPage="1"/>
  </sheetPr>
  <dimension ref="A1:X1001"/>
  <sheetViews>
    <sheetView showGridLines="0" zoomScale="85" zoomScaleNormal="85" workbookViewId="0">
      <selection activeCell="F23" sqref="F23"/>
    </sheetView>
  </sheetViews>
  <sheetFormatPr defaultColWidth="12.5703125" defaultRowHeight="15" customHeight="1" x14ac:dyDescent="0.2"/>
  <cols>
    <col min="1" max="1" width="3.5703125" customWidth="1"/>
    <col min="2" max="2" width="53.85546875" bestFit="1" customWidth="1"/>
    <col min="3" max="3" width="18.5703125" customWidth="1"/>
    <col min="4" max="4" width="3.85546875" style="44" customWidth="1"/>
    <col min="5" max="5" width="36.42578125" customWidth="1"/>
    <col min="6" max="6" width="17" customWidth="1"/>
    <col min="7" max="7" width="13.5703125" bestFit="1" customWidth="1"/>
    <col min="8" max="8" width="4" customWidth="1"/>
    <col min="9" max="9" width="53.85546875" bestFit="1" customWidth="1"/>
    <col min="10" max="10" width="15.5703125" bestFit="1" customWidth="1"/>
    <col min="11" max="11" width="3.85546875" customWidth="1"/>
    <col min="12" max="12" width="36.28515625" bestFit="1" customWidth="1"/>
    <col min="13" max="13" width="15" bestFit="1" customWidth="1"/>
    <col min="14" max="14" width="8.28515625" bestFit="1" customWidth="1"/>
    <col min="15" max="24" width="9.140625" customWidth="1"/>
    <col min="25" max="26" width="14.42578125" customWidth="1"/>
  </cols>
  <sheetData>
    <row r="1" spans="1:24" ht="15" customHeight="1" thickBot="1" x14ac:dyDescent="0.25">
      <c r="A1" s="13"/>
      <c r="B1" s="14"/>
      <c r="C1" s="13"/>
      <c r="D1" s="99"/>
      <c r="E1" s="13"/>
      <c r="F1" s="13"/>
      <c r="G1" s="15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26.25" customHeight="1" thickBot="1" x14ac:dyDescent="0.25">
      <c r="A2" s="16"/>
      <c r="B2" s="427" t="s">
        <v>110</v>
      </c>
      <c r="C2" s="428"/>
      <c r="D2" s="428"/>
      <c r="E2" s="428"/>
      <c r="F2" s="428"/>
      <c r="G2" s="429"/>
      <c r="I2" s="427" t="s">
        <v>109</v>
      </c>
      <c r="J2" s="428"/>
      <c r="K2" s="428"/>
      <c r="L2" s="428"/>
      <c r="M2" s="428"/>
      <c r="N2" s="429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9" customHeight="1" thickBot="1" x14ac:dyDescent="0.25">
      <c r="A3" s="17"/>
      <c r="B3" s="18"/>
      <c r="C3" s="18"/>
      <c r="D3" s="100"/>
      <c r="E3" s="18"/>
      <c r="F3" s="18"/>
      <c r="G3" s="19"/>
      <c r="H3" s="18"/>
      <c r="I3" s="18"/>
      <c r="J3" s="18"/>
      <c r="K3" s="20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4" ht="24.75" customHeight="1" thickBot="1" x14ac:dyDescent="0.3">
      <c r="A4" s="17"/>
      <c r="B4" s="383" t="s">
        <v>59</v>
      </c>
      <c r="C4" s="384"/>
      <c r="E4" s="2" t="s">
        <v>43</v>
      </c>
      <c r="F4" s="3"/>
      <c r="G4" s="19"/>
      <c r="H4" s="20"/>
      <c r="I4" s="383" t="s">
        <v>59</v>
      </c>
      <c r="J4" s="384"/>
      <c r="K4" s="44"/>
      <c r="L4" s="2" t="s">
        <v>43</v>
      </c>
      <c r="M4" s="3"/>
      <c r="N4" s="19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23.25" customHeight="1" x14ac:dyDescent="0.2">
      <c r="A5" s="17"/>
      <c r="B5" s="56" t="s">
        <v>62</v>
      </c>
      <c r="C5" s="60">
        <v>3400</v>
      </c>
      <c r="E5" s="64" t="s">
        <v>63</v>
      </c>
      <c r="F5" s="68">
        <f>SUM(C12:C20)</f>
        <v>2264</v>
      </c>
      <c r="G5" s="198">
        <f>(F5/C9)*1</f>
        <v>0.4353955002721222</v>
      </c>
      <c r="I5" s="56" t="s">
        <v>62</v>
      </c>
      <c r="J5" s="60">
        <v>3400</v>
      </c>
      <c r="K5" s="44"/>
      <c r="L5" s="64" t="s">
        <v>63</v>
      </c>
      <c r="M5" s="68">
        <f>SUM(J12:J20)</f>
        <v>3227.74</v>
      </c>
      <c r="N5" s="198">
        <f>(M5/J9)*1</f>
        <v>0.62073474913795923</v>
      </c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23.25" customHeight="1" x14ac:dyDescent="0.2">
      <c r="A6" s="17"/>
      <c r="B6" s="57" t="s">
        <v>64</v>
      </c>
      <c r="C6" s="61">
        <v>1626.67</v>
      </c>
      <c r="E6" s="65" t="s">
        <v>65</v>
      </c>
      <c r="F6" s="69">
        <f>SUM(F11:F201)</f>
        <v>1700</v>
      </c>
      <c r="G6" s="21"/>
      <c r="I6" s="57" t="s">
        <v>64</v>
      </c>
      <c r="J6" s="61">
        <v>1626.67</v>
      </c>
      <c r="K6" s="44"/>
      <c r="L6" s="65" t="s">
        <v>65</v>
      </c>
      <c r="M6" s="69">
        <f>SUM(M11:M201)</f>
        <v>1622</v>
      </c>
      <c r="N6" s="21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23.25" customHeight="1" thickBot="1" x14ac:dyDescent="0.25">
      <c r="A7" s="17"/>
      <c r="B7" s="58" t="s">
        <v>66</v>
      </c>
      <c r="C7" s="62">
        <f>173.2</f>
        <v>173.2</v>
      </c>
      <c r="E7" s="66" t="s">
        <v>67</v>
      </c>
      <c r="F7" s="70">
        <v>0</v>
      </c>
      <c r="G7" s="21"/>
      <c r="I7" s="58" t="s">
        <v>66</v>
      </c>
      <c r="J7" s="62">
        <f>173.2</f>
        <v>173.2</v>
      </c>
      <c r="K7" s="44"/>
      <c r="L7" s="66" t="s">
        <v>67</v>
      </c>
      <c r="M7" s="70">
        <f>SUM(Q23:Q25)</f>
        <v>0</v>
      </c>
      <c r="N7" s="21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23.25" customHeight="1" thickBot="1" x14ac:dyDescent="0.25">
      <c r="A8" s="17"/>
      <c r="B8" s="59" t="s">
        <v>68</v>
      </c>
      <c r="C8" s="63"/>
      <c r="E8" s="67" t="s">
        <v>7</v>
      </c>
      <c r="F8" s="51">
        <f>(C9-(F5+F6))</f>
        <v>1235.8699999999999</v>
      </c>
      <c r="G8" s="116"/>
      <c r="I8" s="59" t="s">
        <v>68</v>
      </c>
      <c r="J8" s="63"/>
      <c r="K8" s="44"/>
      <c r="L8" s="67" t="s">
        <v>7</v>
      </c>
      <c r="M8" s="51">
        <f>(J9-(M5+M6))</f>
        <v>350.13000000000011</v>
      </c>
      <c r="N8" s="116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26.25" customHeight="1" thickBot="1" x14ac:dyDescent="0.25">
      <c r="A9" s="17"/>
      <c r="B9" s="54" t="s">
        <v>69</v>
      </c>
      <c r="C9" s="55">
        <f>SUM(C5:C8)</f>
        <v>5199.87</v>
      </c>
      <c r="E9" s="118"/>
      <c r="F9" s="119"/>
      <c r="G9" s="117"/>
      <c r="I9" s="54" t="s">
        <v>69</v>
      </c>
      <c r="J9" s="55">
        <f>SUM(J5:J8)</f>
        <v>5199.87</v>
      </c>
      <c r="K9" s="44"/>
      <c r="L9" s="118"/>
      <c r="M9" s="119"/>
      <c r="N9" s="117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9" customHeight="1" thickBot="1" x14ac:dyDescent="0.25">
      <c r="A10" s="17"/>
      <c r="B10" s="22"/>
      <c r="C10" s="22"/>
      <c r="E10" s="18"/>
      <c r="F10" s="18"/>
      <c r="G10" s="19"/>
      <c r="H10" s="18"/>
      <c r="I10" s="22"/>
      <c r="J10" s="22"/>
      <c r="K10" s="44"/>
      <c r="L10" s="18"/>
      <c r="M10" s="18"/>
      <c r="N10" s="19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ht="22.5" customHeight="1" thickBot="1" x14ac:dyDescent="0.25">
      <c r="A11" s="23"/>
      <c r="B11" s="53" t="s">
        <v>70</v>
      </c>
      <c r="C11" s="53" t="s">
        <v>71</v>
      </c>
      <c r="D11" s="166" t="s">
        <v>94</v>
      </c>
      <c r="E11" s="192" t="s">
        <v>72</v>
      </c>
      <c r="F11" s="193" t="s">
        <v>71</v>
      </c>
      <c r="G11" s="194" t="s">
        <v>73</v>
      </c>
      <c r="H11" s="4"/>
      <c r="I11" s="52" t="s">
        <v>70</v>
      </c>
      <c r="J11" s="52" t="s">
        <v>71</v>
      </c>
      <c r="K11" s="166" t="s">
        <v>94</v>
      </c>
      <c r="L11" s="192" t="s">
        <v>72</v>
      </c>
      <c r="M11" s="193" t="s">
        <v>71</v>
      </c>
      <c r="N11" s="194" t="s">
        <v>73</v>
      </c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22.5" customHeight="1" x14ac:dyDescent="0.2">
      <c r="A12" s="24">
        <v>1</v>
      </c>
      <c r="B12" s="174" t="s">
        <v>96</v>
      </c>
      <c r="C12" s="173">
        <v>0</v>
      </c>
      <c r="D12" s="166"/>
      <c r="E12" s="33"/>
      <c r="F12" s="169"/>
      <c r="G12" s="34"/>
      <c r="H12" s="4"/>
      <c r="I12" s="174" t="s">
        <v>96</v>
      </c>
      <c r="J12" s="173">
        <v>710</v>
      </c>
      <c r="K12" s="166"/>
      <c r="L12" s="33"/>
      <c r="M12" s="169"/>
      <c r="N12" s="3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22.5" customHeight="1" x14ac:dyDescent="0.2">
      <c r="A13" s="24">
        <v>1</v>
      </c>
      <c r="B13" s="185" t="s">
        <v>97</v>
      </c>
      <c r="C13" s="191">
        <v>2000</v>
      </c>
      <c r="D13" s="166"/>
      <c r="E13" s="48" t="s">
        <v>13</v>
      </c>
      <c r="F13" s="168">
        <v>600</v>
      </c>
      <c r="G13" s="49"/>
      <c r="H13" s="4"/>
      <c r="I13" s="185" t="s">
        <v>97</v>
      </c>
      <c r="J13" s="191">
        <v>1850</v>
      </c>
      <c r="K13" s="166"/>
      <c r="L13" s="48" t="s">
        <v>13</v>
      </c>
      <c r="M13" s="168">
        <v>600</v>
      </c>
      <c r="N13" s="49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22.5" customHeight="1" x14ac:dyDescent="0.2">
      <c r="A14" s="24">
        <v>2</v>
      </c>
      <c r="B14" s="181" t="s">
        <v>98</v>
      </c>
      <c r="C14" s="182">
        <v>0</v>
      </c>
      <c r="D14" s="166"/>
      <c r="E14" s="35" t="s">
        <v>106</v>
      </c>
      <c r="F14" s="170">
        <v>150</v>
      </c>
      <c r="G14" s="36"/>
      <c r="H14" s="4"/>
      <c r="I14" s="181" t="s">
        <v>98</v>
      </c>
      <c r="J14" s="182">
        <v>15.1</v>
      </c>
      <c r="K14" s="166"/>
      <c r="L14" s="35" t="s">
        <v>106</v>
      </c>
      <c r="M14" s="170">
        <v>150</v>
      </c>
      <c r="N14" s="36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22.5" customHeight="1" x14ac:dyDescent="0.2">
      <c r="A15" s="24">
        <v>2</v>
      </c>
      <c r="B15" s="185" t="s">
        <v>108</v>
      </c>
      <c r="C15" s="186">
        <v>30</v>
      </c>
      <c r="D15" s="164"/>
      <c r="E15" s="48" t="s">
        <v>104</v>
      </c>
      <c r="F15" s="168">
        <v>200</v>
      </c>
      <c r="G15" s="49"/>
      <c r="H15" s="4"/>
      <c r="I15" s="185" t="s">
        <v>108</v>
      </c>
      <c r="J15" s="186">
        <v>30</v>
      </c>
      <c r="K15" s="164"/>
      <c r="L15" s="48" t="s">
        <v>104</v>
      </c>
      <c r="M15" s="168">
        <v>200</v>
      </c>
      <c r="N15" s="49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22.5" customHeight="1" x14ac:dyDescent="0.2">
      <c r="A16" s="24">
        <v>3</v>
      </c>
      <c r="B16" s="181" t="s">
        <v>99</v>
      </c>
      <c r="C16" s="182">
        <v>0</v>
      </c>
      <c r="D16" s="164"/>
      <c r="E16" s="35" t="s">
        <v>105</v>
      </c>
      <c r="F16" s="170">
        <v>200</v>
      </c>
      <c r="G16" s="36"/>
      <c r="H16" s="4"/>
      <c r="I16" s="181" t="s">
        <v>99</v>
      </c>
      <c r="J16" s="182">
        <v>168</v>
      </c>
      <c r="K16" s="164"/>
      <c r="L16" s="35" t="s">
        <v>105</v>
      </c>
      <c r="M16" s="170">
        <v>200</v>
      </c>
      <c r="N16" s="36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22.5" customHeight="1" x14ac:dyDescent="0.2">
      <c r="A17" s="24">
        <v>3</v>
      </c>
      <c r="B17" s="187" t="s">
        <v>103</v>
      </c>
      <c r="C17" s="188">
        <v>168</v>
      </c>
      <c r="D17" s="164"/>
      <c r="E17" s="48" t="s">
        <v>25</v>
      </c>
      <c r="F17" s="168">
        <v>150</v>
      </c>
      <c r="G17" s="49"/>
      <c r="H17" s="4"/>
      <c r="I17" s="187" t="s">
        <v>103</v>
      </c>
      <c r="J17" s="188">
        <v>168</v>
      </c>
      <c r="K17" s="164"/>
      <c r="L17" s="48" t="s">
        <v>25</v>
      </c>
      <c r="M17" s="168">
        <v>150</v>
      </c>
      <c r="N17" s="49"/>
      <c r="O17" s="45"/>
      <c r="P17" s="4"/>
      <c r="Q17" s="4"/>
      <c r="R17" s="4"/>
      <c r="S17" s="4"/>
      <c r="T17" s="4"/>
      <c r="U17" s="4"/>
      <c r="V17" s="4"/>
      <c r="W17" s="4"/>
      <c r="X17" s="4"/>
    </row>
    <row r="18" spans="1:24" ht="22.5" customHeight="1" x14ac:dyDescent="0.2">
      <c r="A18" s="24">
        <v>4</v>
      </c>
      <c r="B18" s="175" t="s">
        <v>102</v>
      </c>
      <c r="C18" s="176">
        <v>0</v>
      </c>
      <c r="D18" s="164"/>
      <c r="E18" s="35" t="s">
        <v>107</v>
      </c>
      <c r="F18" s="170">
        <v>100</v>
      </c>
      <c r="G18" s="36"/>
      <c r="H18" s="4"/>
      <c r="I18" s="175" t="s">
        <v>102</v>
      </c>
      <c r="J18" s="176">
        <v>66</v>
      </c>
      <c r="K18" s="164"/>
      <c r="L18" s="35" t="s">
        <v>107</v>
      </c>
      <c r="M18" s="170">
        <v>100</v>
      </c>
      <c r="N18" s="36"/>
      <c r="O18" s="45"/>
      <c r="P18" s="4"/>
      <c r="Q18" s="4"/>
      <c r="R18" s="4"/>
      <c r="S18" s="4"/>
      <c r="T18" s="4"/>
      <c r="U18" s="4"/>
      <c r="V18" s="4"/>
      <c r="W18" s="4"/>
      <c r="X18" s="4"/>
    </row>
    <row r="19" spans="1:24" ht="22.5" customHeight="1" x14ac:dyDescent="0.2">
      <c r="A19" s="24">
        <v>4</v>
      </c>
      <c r="B19" s="185" t="s">
        <v>24</v>
      </c>
      <c r="C19" s="186">
        <v>66</v>
      </c>
      <c r="D19" s="164"/>
      <c r="E19" s="167" t="s">
        <v>111</v>
      </c>
      <c r="F19" s="168">
        <v>300</v>
      </c>
      <c r="G19" s="49"/>
      <c r="H19" s="4"/>
      <c r="I19" s="185" t="s">
        <v>24</v>
      </c>
      <c r="J19" s="186">
        <v>66</v>
      </c>
      <c r="K19" s="164"/>
      <c r="L19" s="167" t="s">
        <v>111</v>
      </c>
      <c r="M19" s="168">
        <v>222</v>
      </c>
      <c r="N19" s="49"/>
      <c r="O19" s="45"/>
      <c r="P19" s="4"/>
      <c r="Q19" s="4"/>
      <c r="R19" s="4"/>
      <c r="S19" s="4"/>
      <c r="T19" s="4"/>
      <c r="U19" s="4"/>
      <c r="V19" s="4"/>
      <c r="W19" s="4"/>
      <c r="X19" s="4"/>
    </row>
    <row r="20" spans="1:24" ht="22.5" customHeight="1" x14ac:dyDescent="0.2">
      <c r="A20" s="24">
        <v>5</v>
      </c>
      <c r="B20" s="177" t="s">
        <v>101</v>
      </c>
      <c r="C20" s="178">
        <v>0</v>
      </c>
      <c r="D20" s="164"/>
      <c r="E20" s="35"/>
      <c r="F20" s="170"/>
      <c r="G20" s="36"/>
      <c r="H20" s="4"/>
      <c r="I20" s="177" t="s">
        <v>101</v>
      </c>
      <c r="J20" s="178">
        <v>154.63999999999999</v>
      </c>
      <c r="K20" s="164"/>
      <c r="L20" s="35"/>
      <c r="M20" s="170"/>
      <c r="N20" s="36"/>
      <c r="O20" s="45"/>
      <c r="P20" s="4"/>
      <c r="Q20" s="4"/>
      <c r="R20" s="4"/>
      <c r="S20" s="4"/>
      <c r="T20" s="4"/>
      <c r="U20" s="4"/>
      <c r="V20" s="4"/>
      <c r="W20" s="4"/>
      <c r="X20" s="4"/>
    </row>
    <row r="21" spans="1:24" ht="22.5" customHeight="1" x14ac:dyDescent="0.2">
      <c r="A21" s="25">
        <v>5</v>
      </c>
      <c r="B21" s="187" t="s">
        <v>28</v>
      </c>
      <c r="C21" s="188">
        <v>154.63999999999999</v>
      </c>
      <c r="D21" s="164"/>
      <c r="E21" s="48"/>
      <c r="F21" s="168"/>
      <c r="G21" s="49"/>
      <c r="H21" s="4"/>
      <c r="I21" s="187" t="s">
        <v>28</v>
      </c>
      <c r="J21" s="188">
        <v>154.63999999999999</v>
      </c>
      <c r="K21" s="164"/>
      <c r="L21" s="48"/>
      <c r="M21" s="168"/>
      <c r="N21" s="49"/>
      <c r="O21" s="45"/>
      <c r="P21" s="4"/>
      <c r="Q21" s="4"/>
      <c r="R21" s="4"/>
      <c r="S21" s="4"/>
      <c r="T21" s="4"/>
      <c r="U21" s="4"/>
      <c r="V21" s="4"/>
      <c r="W21" s="4"/>
      <c r="X21" s="4"/>
    </row>
    <row r="22" spans="1:24" ht="22.5" customHeight="1" x14ac:dyDescent="0.2">
      <c r="A22" s="25">
        <v>6</v>
      </c>
      <c r="B22" s="183" t="s">
        <v>100</v>
      </c>
      <c r="C22" s="184">
        <v>20.29</v>
      </c>
      <c r="D22" s="164"/>
      <c r="E22" s="35"/>
      <c r="F22" s="170"/>
      <c r="G22" s="36"/>
      <c r="H22" s="4"/>
      <c r="I22" s="183" t="s">
        <v>100</v>
      </c>
      <c r="J22" s="184">
        <v>20.29</v>
      </c>
      <c r="K22" s="164"/>
      <c r="L22" s="35"/>
      <c r="M22" s="170"/>
      <c r="N22" s="36"/>
      <c r="O22" s="45"/>
      <c r="P22" s="4"/>
      <c r="Q22" s="4"/>
      <c r="R22" s="4"/>
      <c r="S22" s="4"/>
      <c r="T22" s="4"/>
      <c r="U22" s="4"/>
      <c r="V22" s="4"/>
      <c r="W22" s="4"/>
      <c r="X22" s="4"/>
    </row>
    <row r="23" spans="1:24" ht="22.5" customHeight="1" x14ac:dyDescent="0.2">
      <c r="A23" s="25">
        <v>6</v>
      </c>
      <c r="B23" s="187" t="s">
        <v>31</v>
      </c>
      <c r="C23" s="188">
        <v>40</v>
      </c>
      <c r="D23" s="164"/>
      <c r="E23" s="48"/>
      <c r="F23" s="168"/>
      <c r="G23" s="49"/>
      <c r="H23" s="4"/>
      <c r="I23" s="187" t="s">
        <v>31</v>
      </c>
      <c r="J23" s="188">
        <v>40</v>
      </c>
      <c r="K23" s="164"/>
      <c r="L23" s="48"/>
      <c r="M23" s="168"/>
      <c r="N23" s="49"/>
      <c r="O23" s="45"/>
      <c r="P23" s="4"/>
      <c r="Q23" s="4"/>
      <c r="R23" s="4"/>
      <c r="S23" s="4"/>
      <c r="T23" s="4"/>
      <c r="U23" s="4"/>
      <c r="V23" s="4"/>
      <c r="W23" s="4"/>
      <c r="X23" s="4"/>
    </row>
    <row r="24" spans="1:24" ht="22.5" customHeight="1" x14ac:dyDescent="0.2">
      <c r="A24" s="25"/>
      <c r="B24" s="40" t="s">
        <v>17</v>
      </c>
      <c r="C24" s="41">
        <v>16.62</v>
      </c>
      <c r="D24" s="164"/>
      <c r="E24" s="35"/>
      <c r="F24" s="170"/>
      <c r="G24" s="36"/>
      <c r="H24" s="4"/>
      <c r="I24" s="40" t="s">
        <v>17</v>
      </c>
      <c r="J24" s="41">
        <v>16.62</v>
      </c>
      <c r="K24" s="164"/>
      <c r="L24" s="35"/>
      <c r="M24" s="170"/>
      <c r="N24" s="36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22.5" customHeight="1" thickBot="1" x14ac:dyDescent="0.25">
      <c r="A25" s="26"/>
      <c r="B25" s="189" t="s">
        <v>33</v>
      </c>
      <c r="C25" s="190">
        <f>14.5+14.5</f>
        <v>29</v>
      </c>
      <c r="D25" s="164"/>
      <c r="E25" s="195"/>
      <c r="F25" s="196"/>
      <c r="G25" s="197"/>
      <c r="H25" s="4"/>
      <c r="I25" s="189" t="s">
        <v>33</v>
      </c>
      <c r="J25" s="190">
        <f>14.5+14.5</f>
        <v>29</v>
      </c>
      <c r="K25" s="164"/>
      <c r="L25" s="195"/>
      <c r="M25" s="196"/>
      <c r="N25" s="197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22.5" customHeight="1" x14ac:dyDescent="0.2">
      <c r="A26" s="25"/>
      <c r="B26" s="45"/>
      <c r="C26" s="45"/>
      <c r="D26" s="164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22.5" customHeight="1" x14ac:dyDescent="0.2">
      <c r="B27" s="45"/>
      <c r="C27" s="45"/>
      <c r="D27" s="164"/>
      <c r="E27" s="45"/>
      <c r="F27" s="45"/>
      <c r="G27" s="45"/>
      <c r="H27" s="45"/>
      <c r="I27" s="45"/>
      <c r="K27" s="45"/>
      <c r="N27" s="45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4" ht="22.5" customHeight="1" x14ac:dyDescent="0.2">
      <c r="B28" s="45"/>
      <c r="C28" s="45"/>
      <c r="D28" s="164"/>
      <c r="E28" s="45"/>
      <c r="F28" s="45"/>
      <c r="G28" s="45"/>
      <c r="H28" s="45"/>
      <c r="I28" s="45"/>
      <c r="J28" s="45"/>
      <c r="K28" s="45"/>
      <c r="M28" s="45"/>
      <c r="N28" s="45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4" ht="22.5" customHeight="1" x14ac:dyDescent="0.2">
      <c r="A29" s="17"/>
      <c r="B29" s="45"/>
      <c r="C29" s="45"/>
      <c r="D29" s="164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1:24" ht="22.5" customHeight="1" x14ac:dyDescent="0.2">
      <c r="A30" s="17"/>
      <c r="B30" s="45"/>
      <c r="C30" s="45"/>
      <c r="D30" s="164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4" ht="22.5" customHeight="1" x14ac:dyDescent="0.2">
      <c r="A31" s="17"/>
      <c r="B31" s="45"/>
      <c r="C31" s="45"/>
      <c r="D31" s="164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1:24" ht="22.5" customHeight="1" x14ac:dyDescent="0.2">
      <c r="A32" s="17"/>
      <c r="B32" s="45"/>
      <c r="C32" s="45"/>
      <c r="D32" s="164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1:24" ht="22.5" customHeight="1" x14ac:dyDescent="0.2">
      <c r="A33" s="17"/>
      <c r="B33" s="45"/>
      <c r="C33" s="45"/>
      <c r="D33" s="164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1:24" ht="22.5" customHeight="1" x14ac:dyDescent="0.2">
      <c r="A34" s="17"/>
      <c r="B34" s="45"/>
      <c r="C34" s="45"/>
      <c r="D34" s="164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1:24" ht="22.5" customHeight="1" x14ac:dyDescent="0.2">
      <c r="A35" s="17"/>
      <c r="B35" s="45"/>
      <c r="C35" s="45"/>
      <c r="D35" s="164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1:24" ht="22.5" customHeight="1" x14ac:dyDescent="0.2">
      <c r="A36" s="17"/>
      <c r="B36" s="45"/>
      <c r="C36" s="45"/>
      <c r="D36" s="16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:24" ht="22.5" customHeight="1" x14ac:dyDescent="0.2">
      <c r="A37" s="17"/>
      <c r="B37" s="45"/>
      <c r="C37" s="45"/>
      <c r="D37" s="164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1:24" ht="22.5" customHeight="1" x14ac:dyDescent="0.2">
      <c r="A38" s="17"/>
      <c r="B38" s="18"/>
      <c r="C38" s="18"/>
      <c r="D38" s="164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1:24" ht="22.5" customHeight="1" x14ac:dyDescent="0.2">
      <c r="A39" s="17"/>
      <c r="B39" s="18"/>
      <c r="C39" s="18"/>
      <c r="D39" s="164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4" ht="22.5" customHeight="1" x14ac:dyDescent="0.2">
      <c r="A40" s="17"/>
      <c r="B40" s="18"/>
      <c r="C40" s="18"/>
      <c r="D40" s="164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4" ht="22.5" customHeight="1" x14ac:dyDescent="0.2">
      <c r="A41" s="17"/>
      <c r="B41" s="18"/>
      <c r="C41" s="18"/>
      <c r="D41" s="164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4" ht="22.5" customHeight="1" x14ac:dyDescent="0.2">
      <c r="A42" s="17"/>
      <c r="B42" s="18"/>
      <c r="C42" s="18"/>
      <c r="D42" s="16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4" ht="22.5" customHeight="1" x14ac:dyDescent="0.2">
      <c r="A43" s="17"/>
      <c r="B43" s="18"/>
      <c r="C43" s="18"/>
      <c r="D43" s="164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4" ht="22.5" customHeight="1" x14ac:dyDescent="0.2">
      <c r="A44" s="17"/>
      <c r="B44" s="18"/>
      <c r="C44" s="18"/>
      <c r="D44" s="164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ht="22.5" customHeight="1" x14ac:dyDescent="0.2">
      <c r="A45" s="17"/>
      <c r="B45" s="18"/>
      <c r="C45" s="18"/>
      <c r="D45" s="164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ht="22.5" customHeight="1" x14ac:dyDescent="0.2">
      <c r="A46" s="17"/>
      <c r="B46" s="18"/>
      <c r="C46" s="18"/>
      <c r="D46" s="164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4" ht="22.5" customHeight="1" x14ac:dyDescent="0.2">
      <c r="A47" s="17"/>
      <c r="B47" s="18"/>
      <c r="C47" s="18"/>
      <c r="D47" s="164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4" ht="22.5" customHeight="1" x14ac:dyDescent="0.2">
      <c r="A48" s="17"/>
      <c r="B48" s="18"/>
      <c r="C48" s="18"/>
      <c r="D48" s="164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ht="22.5" customHeight="1" x14ac:dyDescent="0.2">
      <c r="A49" s="17"/>
      <c r="B49" s="18"/>
      <c r="C49" s="18"/>
      <c r="D49" s="164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 ht="22.5" customHeight="1" x14ac:dyDescent="0.2">
      <c r="A50" s="17"/>
      <c r="B50" s="18"/>
      <c r="C50" s="18"/>
      <c r="D50" s="164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4" ht="22.5" customHeight="1" x14ac:dyDescent="0.2">
      <c r="A51" s="17"/>
      <c r="B51" s="18"/>
      <c r="C51" s="18"/>
      <c r="D51" s="171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1:24" ht="22.5" customHeight="1" x14ac:dyDescent="0.2">
      <c r="A52" s="17"/>
      <c r="B52" s="18"/>
      <c r="C52" s="18"/>
      <c r="D52" s="171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ht="22.5" customHeight="1" x14ac:dyDescent="0.2">
      <c r="A53" s="17"/>
      <c r="B53" s="18"/>
      <c r="C53" s="18"/>
      <c r="D53" s="164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4" ht="22.5" customHeight="1" x14ac:dyDescent="0.2">
      <c r="A54" s="17"/>
      <c r="B54" s="18"/>
      <c r="C54" s="18"/>
      <c r="D54" s="164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ht="22.5" customHeight="1" x14ac:dyDescent="0.2">
      <c r="A55" s="17"/>
      <c r="B55" s="18"/>
      <c r="C55" s="18"/>
      <c r="D55" s="164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 ht="22.5" customHeight="1" x14ac:dyDescent="0.2">
      <c r="A56" s="17"/>
      <c r="B56" s="18"/>
      <c r="C56" s="18"/>
      <c r="D56" s="164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ht="22.5" customHeight="1" x14ac:dyDescent="0.2">
      <c r="A57" s="17"/>
      <c r="B57" s="18"/>
      <c r="C57" s="18"/>
      <c r="D57" s="164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 ht="22.5" customHeight="1" x14ac:dyDescent="0.2">
      <c r="A58" s="17"/>
      <c r="B58" s="18"/>
      <c r="C58" s="18"/>
      <c r="D58" s="164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ht="22.5" customHeight="1" x14ac:dyDescent="0.2">
      <c r="A59" s="17"/>
      <c r="B59" s="18"/>
      <c r="C59" s="18"/>
      <c r="D59" s="164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ht="22.5" customHeight="1" x14ac:dyDescent="0.2">
      <c r="A60" s="17"/>
      <c r="B60" s="18"/>
      <c r="C60" s="18"/>
      <c r="D60" s="164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ht="22.5" customHeight="1" x14ac:dyDescent="0.2">
      <c r="A61" s="17"/>
      <c r="B61" s="18"/>
      <c r="C61" s="18"/>
      <c r="D61" s="164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ht="22.5" customHeight="1" x14ac:dyDescent="0.2">
      <c r="A62" s="17"/>
      <c r="B62" s="18"/>
      <c r="C62" s="18"/>
      <c r="D62" s="164"/>
      <c r="E62" s="45"/>
      <c r="F62" s="45"/>
      <c r="G62" s="45"/>
      <c r="H62" s="45"/>
      <c r="I62" s="45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ht="22.5" customHeight="1" x14ac:dyDescent="0.2">
      <c r="A63" s="17"/>
      <c r="B63" s="18"/>
      <c r="C63" s="18"/>
      <c r="D63" s="164"/>
      <c r="E63" s="45"/>
      <c r="F63" s="45"/>
      <c r="G63" s="45"/>
      <c r="H63" s="45"/>
      <c r="I63" s="45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22.5" customHeight="1" x14ac:dyDescent="0.2">
      <c r="A64" s="17"/>
      <c r="B64" s="18"/>
      <c r="C64" s="18"/>
      <c r="D64" s="164"/>
      <c r="E64" s="45"/>
      <c r="F64" s="45"/>
      <c r="G64" s="45"/>
      <c r="H64" s="45"/>
      <c r="I64" s="45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1:24" ht="22.5" customHeight="1" x14ac:dyDescent="0.2">
      <c r="A65" s="17"/>
      <c r="B65" s="18"/>
      <c r="C65" s="18"/>
      <c r="D65" s="164"/>
      <c r="E65" s="45"/>
      <c r="F65" s="45"/>
      <c r="G65" s="45"/>
      <c r="H65" s="45"/>
      <c r="I65" s="45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ht="22.5" customHeight="1" x14ac:dyDescent="0.2">
      <c r="A66" s="17"/>
      <c r="B66" s="18"/>
      <c r="C66" s="18"/>
      <c r="D66" s="172"/>
      <c r="E66" s="45"/>
      <c r="F66" s="45"/>
      <c r="G66" s="45"/>
      <c r="H66" s="45"/>
      <c r="I66" s="45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1:24" ht="22.5" customHeight="1" x14ac:dyDescent="0.2">
      <c r="A67" s="17"/>
      <c r="B67" s="18"/>
      <c r="C67" s="18"/>
      <c r="D67" s="172"/>
      <c r="E67" s="45"/>
      <c r="F67" s="45"/>
      <c r="G67" s="45"/>
      <c r="H67" s="45"/>
      <c r="I67" s="45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1:24" ht="22.5" customHeight="1" x14ac:dyDescent="0.2">
      <c r="A68" s="17"/>
      <c r="B68" s="18"/>
      <c r="C68" s="18"/>
      <c r="D68" s="164"/>
      <c r="E68" s="45"/>
      <c r="F68" s="45"/>
      <c r="G68" s="45"/>
      <c r="H68" s="45"/>
      <c r="I68" s="45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4" ht="22.5" customHeight="1" x14ac:dyDescent="0.2">
      <c r="A69" s="17"/>
      <c r="B69" s="18"/>
      <c r="C69" s="18"/>
      <c r="D69" s="164"/>
      <c r="E69" s="45"/>
      <c r="F69" s="45"/>
      <c r="G69" s="45"/>
      <c r="H69" s="45"/>
      <c r="I69" s="45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ht="22.5" customHeight="1" x14ac:dyDescent="0.2">
      <c r="A70" s="17"/>
      <c r="B70" s="18"/>
      <c r="C70" s="18"/>
      <c r="D70" s="164"/>
      <c r="E70" s="45"/>
      <c r="F70" s="45"/>
      <c r="G70" s="45"/>
      <c r="H70" s="45"/>
      <c r="I70" s="45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4" ht="22.5" customHeight="1" x14ac:dyDescent="0.2">
      <c r="A71" s="17"/>
      <c r="B71" s="18"/>
      <c r="C71" s="18"/>
      <c r="D71" s="164"/>
      <c r="E71" s="45"/>
      <c r="F71" s="45"/>
      <c r="G71" s="45"/>
      <c r="H71" s="45"/>
      <c r="I71" s="45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1:24" ht="22.5" customHeight="1" x14ac:dyDescent="0.2">
      <c r="A72" s="17"/>
      <c r="B72" s="18"/>
      <c r="C72" s="18"/>
      <c r="D72" s="164"/>
      <c r="E72" s="45"/>
      <c r="F72" s="45"/>
      <c r="G72" s="45"/>
      <c r="H72" s="45"/>
      <c r="I72" s="45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ht="22.5" customHeight="1" x14ac:dyDescent="0.2">
      <c r="A73" s="17"/>
      <c r="B73" s="18"/>
      <c r="C73" s="18"/>
      <c r="D73" s="164"/>
      <c r="E73" s="45"/>
      <c r="F73" s="45"/>
      <c r="G73" s="45"/>
      <c r="H73" s="45"/>
      <c r="I73" s="45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1:24" ht="22.5" customHeight="1" x14ac:dyDescent="0.2">
      <c r="A74" s="17"/>
      <c r="B74" s="18"/>
      <c r="C74" s="18"/>
      <c r="D74" s="164"/>
      <c r="E74" s="45"/>
      <c r="F74" s="45"/>
      <c r="G74" s="45"/>
      <c r="H74" s="45"/>
      <c r="I74" s="45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1:24" ht="22.5" customHeight="1" x14ac:dyDescent="0.2">
      <c r="A75" s="17"/>
      <c r="B75" s="18"/>
      <c r="C75" s="18"/>
      <c r="D75" s="164"/>
      <c r="E75" s="45"/>
      <c r="F75" s="45"/>
      <c r="G75" s="45"/>
      <c r="H75" s="45"/>
      <c r="I75" s="45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ht="22.5" customHeight="1" x14ac:dyDescent="0.2">
      <c r="A76" s="17"/>
      <c r="B76" s="18"/>
      <c r="C76" s="18"/>
      <c r="D76" s="164"/>
      <c r="E76" s="45"/>
      <c r="F76" s="45"/>
      <c r="G76" s="45"/>
      <c r="H76" s="45"/>
      <c r="I76" s="45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1:24" ht="22.5" customHeight="1" x14ac:dyDescent="0.2">
      <c r="A77" s="17"/>
      <c r="B77" s="18"/>
      <c r="C77" s="18"/>
      <c r="D77" s="164"/>
      <c r="E77" s="45"/>
      <c r="F77" s="45"/>
      <c r="G77" s="45"/>
      <c r="H77" s="45"/>
      <c r="I77" s="45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spans="1:24" ht="22.5" customHeight="1" x14ac:dyDescent="0.2">
      <c r="A78" s="17"/>
      <c r="B78" s="18"/>
      <c r="C78" s="18"/>
      <c r="D78" s="164"/>
      <c r="E78" s="45"/>
      <c r="F78" s="45"/>
      <c r="G78" s="45"/>
      <c r="H78" s="45"/>
      <c r="I78" s="45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spans="1:24" ht="22.5" customHeight="1" x14ac:dyDescent="0.2">
      <c r="A79" s="17"/>
      <c r="B79" s="18"/>
      <c r="C79" s="18"/>
      <c r="D79" s="164"/>
      <c r="E79" s="45"/>
      <c r="F79" s="45"/>
      <c r="G79" s="45"/>
      <c r="H79" s="45"/>
      <c r="I79" s="45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1:24" ht="22.5" customHeight="1" x14ac:dyDescent="0.2">
      <c r="A80" s="17"/>
      <c r="B80" s="18"/>
      <c r="C80" s="18"/>
      <c r="D80" s="164"/>
      <c r="E80" s="45"/>
      <c r="F80" s="45"/>
      <c r="G80" s="45"/>
      <c r="H80" s="45"/>
      <c r="I80" s="45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spans="1:24" ht="22.5" customHeight="1" x14ac:dyDescent="0.2">
      <c r="A81" s="17"/>
      <c r="B81" s="18"/>
      <c r="C81" s="18"/>
      <c r="D81" s="164"/>
      <c r="E81" s="45"/>
      <c r="F81" s="45"/>
      <c r="G81" s="45"/>
      <c r="H81" s="45"/>
      <c r="I81" s="45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spans="1:24" ht="22.5" customHeight="1" x14ac:dyDescent="0.2">
      <c r="A82" s="17"/>
      <c r="B82" s="18"/>
      <c r="C82" s="18"/>
      <c r="D82" s="164"/>
      <c r="E82" s="45"/>
      <c r="F82" s="45"/>
      <c r="G82" s="45"/>
      <c r="H82" s="45"/>
      <c r="I82" s="45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1:24" ht="22.5" customHeight="1" x14ac:dyDescent="0.2">
      <c r="A83" s="17"/>
      <c r="B83" s="18"/>
      <c r="C83" s="18"/>
      <c r="D83" s="164"/>
      <c r="E83" s="45"/>
      <c r="F83" s="45"/>
      <c r="G83" s="45"/>
      <c r="H83" s="45"/>
      <c r="I83" s="45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1:24" ht="22.5" customHeight="1" x14ac:dyDescent="0.2">
      <c r="A84" s="17"/>
      <c r="B84" s="18"/>
      <c r="C84" s="18"/>
      <c r="D84" s="164"/>
      <c r="E84" s="45"/>
      <c r="F84" s="45"/>
      <c r="G84" s="45"/>
      <c r="H84" s="45"/>
      <c r="I84" s="45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1:24" ht="22.5" customHeight="1" x14ac:dyDescent="0.2">
      <c r="A85" s="17"/>
      <c r="B85" s="18"/>
      <c r="C85" s="18"/>
      <c r="D85" s="164"/>
      <c r="E85" s="45"/>
      <c r="F85" s="45"/>
      <c r="G85" s="45"/>
      <c r="H85" s="45"/>
      <c r="I85" s="45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ht="22.5" customHeight="1" x14ac:dyDescent="0.2">
      <c r="A86" s="17"/>
      <c r="B86" s="18"/>
      <c r="C86" s="18"/>
      <c r="D86" s="164"/>
      <c r="E86" s="45"/>
      <c r="F86" s="45"/>
      <c r="G86" s="45"/>
      <c r="H86" s="45"/>
      <c r="I86" s="45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spans="1:24" ht="22.5" customHeight="1" x14ac:dyDescent="0.2">
      <c r="A87" s="17"/>
      <c r="B87" s="18"/>
      <c r="C87" s="18"/>
      <c r="D87" s="164"/>
      <c r="E87" s="45"/>
      <c r="F87" s="45"/>
      <c r="G87" s="45"/>
      <c r="H87" s="45"/>
      <c r="I87" s="45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spans="1:24" ht="22.5" customHeight="1" x14ac:dyDescent="0.2">
      <c r="A88" s="17"/>
      <c r="B88" s="18"/>
      <c r="C88" s="18"/>
      <c r="D88" s="164"/>
      <c r="E88" s="45"/>
      <c r="F88" s="45"/>
      <c r="G88" s="45"/>
      <c r="H88" s="45"/>
      <c r="I88" s="45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spans="1:24" ht="22.5" customHeight="1" x14ac:dyDescent="0.2">
      <c r="A89" s="17"/>
      <c r="B89" s="18"/>
      <c r="C89" s="18"/>
      <c r="D89" s="164"/>
      <c r="E89" s="45"/>
      <c r="F89" s="45"/>
      <c r="G89" s="45"/>
      <c r="H89" s="45"/>
      <c r="I89" s="45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spans="1:24" ht="22.5" customHeight="1" x14ac:dyDescent="0.2">
      <c r="A90" s="17"/>
      <c r="B90" s="18"/>
      <c r="C90" s="18"/>
      <c r="D90" s="164"/>
      <c r="E90" s="45"/>
      <c r="F90" s="45"/>
      <c r="G90" s="45"/>
      <c r="H90" s="45"/>
      <c r="I90" s="45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1:24" ht="22.5" customHeight="1" x14ac:dyDescent="0.2">
      <c r="A91" s="17"/>
      <c r="B91" s="18"/>
      <c r="C91" s="18"/>
      <c r="D91" s="164"/>
      <c r="E91" s="45"/>
      <c r="F91" s="45"/>
      <c r="G91" s="45"/>
      <c r="H91" s="45"/>
      <c r="I91" s="45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spans="1:24" ht="22.5" customHeight="1" x14ac:dyDescent="0.2">
      <c r="A92" s="17"/>
      <c r="B92" s="18"/>
      <c r="C92" s="18"/>
      <c r="D92" s="165"/>
      <c r="E92" s="45"/>
      <c r="F92" s="45"/>
      <c r="G92" s="45"/>
      <c r="H92" s="45"/>
      <c r="I92" s="45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 spans="1:24" ht="22.5" customHeight="1" x14ac:dyDescent="0.2">
      <c r="A93" s="17"/>
      <c r="B93" s="18"/>
      <c r="C93" s="18"/>
      <c r="D93" s="165"/>
      <c r="E93" s="45"/>
      <c r="F93" s="45"/>
      <c r="G93" s="45"/>
      <c r="H93" s="45"/>
      <c r="I93" s="45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spans="1:24" ht="22.5" customHeight="1" x14ac:dyDescent="0.2">
      <c r="A94" s="17"/>
      <c r="B94" s="18"/>
      <c r="C94" s="18"/>
      <c r="D94" s="164"/>
      <c r="E94" s="45"/>
      <c r="F94" s="45"/>
      <c r="G94" s="45"/>
      <c r="H94" s="45"/>
      <c r="I94" s="45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1:24" ht="22.5" customHeight="1" x14ac:dyDescent="0.2">
      <c r="A95" s="17"/>
      <c r="B95" s="18"/>
      <c r="C95" s="18"/>
      <c r="D95" s="164"/>
      <c r="E95" s="45"/>
      <c r="F95" s="45"/>
      <c r="G95" s="45"/>
      <c r="H95" s="45"/>
      <c r="I95" s="45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1:24" ht="22.5" customHeight="1" x14ac:dyDescent="0.2">
      <c r="A96" s="17"/>
      <c r="B96" s="18"/>
      <c r="C96" s="18"/>
      <c r="D96" s="164"/>
      <c r="E96" s="45"/>
      <c r="F96" s="45"/>
      <c r="G96" s="45"/>
      <c r="H96" s="45"/>
      <c r="I96" s="45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 ht="22.5" customHeight="1" x14ac:dyDescent="0.2">
      <c r="A97" s="17"/>
      <c r="B97" s="18"/>
      <c r="C97" s="18"/>
      <c r="D97" s="164"/>
      <c r="E97" s="45"/>
      <c r="F97" s="45"/>
      <c r="G97" s="45"/>
      <c r="H97" s="45"/>
      <c r="I97" s="45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spans="1:24" ht="22.5" customHeight="1" x14ac:dyDescent="0.2">
      <c r="A98" s="17"/>
      <c r="B98" s="18"/>
      <c r="C98" s="18"/>
      <c r="D98" s="164"/>
      <c r="E98" s="45"/>
      <c r="F98" s="45"/>
      <c r="G98" s="45"/>
      <c r="H98" s="45"/>
      <c r="I98" s="45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spans="1:24" ht="22.5" customHeight="1" x14ac:dyDescent="0.2">
      <c r="A99" s="17"/>
      <c r="B99" s="18"/>
      <c r="C99" s="18"/>
      <c r="D99" s="164"/>
      <c r="E99" s="45"/>
      <c r="F99" s="45"/>
      <c r="G99" s="45"/>
      <c r="H99" s="45"/>
      <c r="I99" s="45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spans="1:24" ht="22.5" customHeight="1" x14ac:dyDescent="0.2">
      <c r="A100" s="17"/>
      <c r="B100" s="18"/>
      <c r="C100" s="18"/>
      <c r="D100" s="164"/>
      <c r="E100" s="45"/>
      <c r="F100" s="45"/>
      <c r="G100" s="45"/>
      <c r="H100" s="45"/>
      <c r="I100" s="45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1:24" ht="22.5" customHeight="1" x14ac:dyDescent="0.2">
      <c r="A101" s="17"/>
      <c r="B101" s="18"/>
      <c r="C101" s="18"/>
      <c r="D101" s="164"/>
      <c r="E101" s="45"/>
      <c r="F101" s="45"/>
      <c r="G101" s="45"/>
      <c r="H101" s="45"/>
      <c r="I101" s="45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spans="1:24" ht="22.5" customHeight="1" x14ac:dyDescent="0.2">
      <c r="A102" s="17"/>
      <c r="B102" s="18"/>
      <c r="C102" s="18"/>
      <c r="D102" s="164"/>
      <c r="E102" s="45"/>
      <c r="F102" s="45"/>
      <c r="G102" s="45"/>
      <c r="H102" s="45"/>
      <c r="I102" s="45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spans="1:24" ht="22.5" customHeight="1" x14ac:dyDescent="0.2">
      <c r="A103" s="17"/>
      <c r="B103" s="18"/>
      <c r="C103" s="18"/>
      <c r="D103" s="164"/>
      <c r="E103" s="45"/>
      <c r="F103" s="45"/>
      <c r="G103" s="45"/>
      <c r="H103" s="45"/>
      <c r="I103" s="45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spans="1:24" ht="22.5" customHeight="1" x14ac:dyDescent="0.2">
      <c r="A104" s="17"/>
      <c r="B104" s="18"/>
      <c r="C104" s="18"/>
      <c r="D104" s="164"/>
      <c r="E104" s="45"/>
      <c r="F104" s="45"/>
      <c r="G104" s="45"/>
      <c r="H104" s="45"/>
      <c r="I104" s="45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spans="1:24" ht="22.5" customHeight="1" x14ac:dyDescent="0.2">
      <c r="A105" s="17"/>
      <c r="B105" s="18"/>
      <c r="C105" s="18"/>
      <c r="D105" s="164"/>
      <c r="E105" s="45"/>
      <c r="F105" s="45"/>
      <c r="G105" s="45"/>
      <c r="H105" s="45"/>
      <c r="I105" s="45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spans="1:24" ht="22.5" customHeight="1" x14ac:dyDescent="0.2">
      <c r="A106" s="17"/>
      <c r="B106" s="18"/>
      <c r="C106" s="18"/>
      <c r="D106" s="164"/>
      <c r="E106" s="45"/>
      <c r="F106" s="45"/>
      <c r="G106" s="45"/>
      <c r="H106" s="45"/>
      <c r="I106" s="45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spans="1:24" ht="22.5" customHeight="1" x14ac:dyDescent="0.2">
      <c r="A107" s="17"/>
      <c r="B107" s="18"/>
      <c r="C107" s="18"/>
      <c r="D107" s="164"/>
      <c r="E107" s="45"/>
      <c r="F107" s="45"/>
      <c r="G107" s="45"/>
      <c r="H107" s="45"/>
      <c r="I107" s="45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1:24" ht="22.5" customHeight="1" x14ac:dyDescent="0.2">
      <c r="A108" s="17"/>
      <c r="B108" s="18"/>
      <c r="C108" s="18"/>
      <c r="D108" s="164"/>
      <c r="E108" s="45"/>
      <c r="F108" s="45"/>
      <c r="G108" s="45"/>
      <c r="H108" s="45"/>
      <c r="I108" s="45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spans="1:24" ht="22.5" customHeight="1" x14ac:dyDescent="0.2">
      <c r="A109" s="17"/>
      <c r="B109" s="18"/>
      <c r="C109" s="18"/>
      <c r="D109" s="164"/>
      <c r="E109" s="45"/>
      <c r="F109" s="45"/>
      <c r="G109" s="45"/>
      <c r="H109" s="45"/>
      <c r="I109" s="45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spans="1:24" ht="22.5" customHeight="1" x14ac:dyDescent="0.2">
      <c r="A110" s="17"/>
      <c r="B110" s="18"/>
      <c r="C110" s="18"/>
      <c r="D110" s="164"/>
      <c r="E110" s="45"/>
      <c r="F110" s="45"/>
      <c r="G110" s="45"/>
      <c r="H110" s="45"/>
      <c r="I110" s="45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1:24" ht="22.5" customHeight="1" x14ac:dyDescent="0.2">
      <c r="A111" s="17"/>
      <c r="B111" s="18"/>
      <c r="C111" s="18"/>
      <c r="D111" s="164"/>
      <c r="E111" s="45"/>
      <c r="F111" s="45"/>
      <c r="G111" s="45"/>
      <c r="H111" s="45"/>
      <c r="I111" s="45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spans="1:24" ht="22.5" customHeight="1" x14ac:dyDescent="0.2">
      <c r="A112" s="17"/>
      <c r="B112" s="18"/>
      <c r="C112" s="18"/>
      <c r="D112" s="164"/>
      <c r="E112" s="45"/>
      <c r="F112" s="45"/>
      <c r="G112" s="45"/>
      <c r="H112" s="45"/>
      <c r="I112" s="45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 spans="1:24" ht="22.5" customHeight="1" x14ac:dyDescent="0.2">
      <c r="A113" s="17"/>
      <c r="B113" s="18"/>
      <c r="C113" s="18"/>
      <c r="D113" s="164"/>
      <c r="E113" s="45"/>
      <c r="F113" s="45"/>
      <c r="G113" s="45"/>
      <c r="H113" s="45"/>
      <c r="I113" s="45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spans="1:24" ht="22.5" customHeight="1" x14ac:dyDescent="0.2">
      <c r="A114" s="17"/>
      <c r="B114" s="18"/>
      <c r="C114" s="18"/>
      <c r="D114" s="164"/>
      <c r="E114" s="45"/>
      <c r="F114" s="45"/>
      <c r="G114" s="45"/>
      <c r="H114" s="45"/>
      <c r="I114" s="45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spans="1:24" ht="22.5" customHeight="1" x14ac:dyDescent="0.2">
      <c r="A115" s="17"/>
      <c r="B115" s="18"/>
      <c r="C115" s="18"/>
      <c r="D115" s="164"/>
      <c r="E115" s="45"/>
      <c r="F115" s="45"/>
      <c r="G115" s="45"/>
      <c r="H115" s="45"/>
      <c r="I115" s="45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spans="1:24" ht="22.5" customHeight="1" x14ac:dyDescent="0.2">
      <c r="A116" s="17"/>
      <c r="B116" s="18"/>
      <c r="C116" s="18"/>
      <c r="D116" s="164"/>
      <c r="E116" s="45"/>
      <c r="F116" s="45"/>
      <c r="G116" s="45"/>
      <c r="H116" s="45"/>
      <c r="I116" s="45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spans="1:24" ht="22.5" customHeight="1" x14ac:dyDescent="0.2">
      <c r="A117" s="17"/>
      <c r="B117" s="18"/>
      <c r="C117" s="18"/>
      <c r="D117" s="164"/>
      <c r="E117" s="45"/>
      <c r="F117" s="45"/>
      <c r="G117" s="45"/>
      <c r="H117" s="45"/>
      <c r="I117" s="45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  <row r="118" spans="1:24" ht="22.5" customHeight="1" x14ac:dyDescent="0.2">
      <c r="A118" s="17"/>
      <c r="B118" s="18"/>
      <c r="C118" s="18"/>
      <c r="D118" s="164"/>
      <c r="E118" s="45"/>
      <c r="F118" s="45"/>
      <c r="G118" s="45"/>
      <c r="H118" s="45"/>
      <c r="I118" s="45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 spans="1:24" ht="22.5" customHeight="1" x14ac:dyDescent="0.2">
      <c r="A119" s="17"/>
      <c r="B119" s="18"/>
      <c r="C119" s="18"/>
      <c r="D119" s="164"/>
      <c r="E119" s="45"/>
      <c r="F119" s="45"/>
      <c r="G119" s="45"/>
      <c r="H119" s="45"/>
      <c r="I119" s="45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</row>
    <row r="120" spans="1:24" ht="22.5" customHeight="1" x14ac:dyDescent="0.2">
      <c r="A120" s="17"/>
      <c r="B120" s="4"/>
      <c r="C120" s="4"/>
      <c r="D120" s="164"/>
      <c r="E120" s="45"/>
      <c r="F120" s="45"/>
      <c r="G120" s="45"/>
      <c r="H120" s="45"/>
      <c r="I120" s="4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22.5" customHeight="1" x14ac:dyDescent="0.2">
      <c r="A121" s="17"/>
      <c r="B121" s="4"/>
      <c r="C121" s="4"/>
      <c r="D121" s="164"/>
      <c r="E121" s="45"/>
      <c r="F121" s="45"/>
      <c r="G121" s="45"/>
      <c r="H121" s="45"/>
      <c r="I121" s="4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22.5" customHeight="1" x14ac:dyDescent="0.2">
      <c r="A122" s="17"/>
      <c r="B122" s="4"/>
      <c r="C122" s="4"/>
      <c r="D122" s="164"/>
      <c r="E122" s="45"/>
      <c r="F122" s="45"/>
      <c r="G122" s="45"/>
      <c r="H122" s="45"/>
      <c r="I122" s="4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22.5" customHeight="1" x14ac:dyDescent="0.2">
      <c r="A123" s="17"/>
      <c r="B123" s="4"/>
      <c r="C123" s="4"/>
      <c r="D123" s="164"/>
      <c r="E123" s="45"/>
      <c r="F123" s="45"/>
      <c r="G123" s="45"/>
      <c r="H123" s="45"/>
      <c r="I123" s="4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22.5" customHeight="1" x14ac:dyDescent="0.2">
      <c r="A124" s="17"/>
      <c r="B124" s="4"/>
      <c r="C124" s="4"/>
      <c r="D124" s="164"/>
      <c r="E124" s="45"/>
      <c r="F124" s="45"/>
      <c r="G124" s="45"/>
      <c r="H124" s="45"/>
      <c r="I124" s="4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22.5" customHeight="1" x14ac:dyDescent="0.2">
      <c r="A125" s="17"/>
      <c r="B125" s="4"/>
      <c r="C125" s="4"/>
      <c r="D125" s="164"/>
      <c r="E125" s="45"/>
      <c r="F125" s="45"/>
      <c r="G125" s="45"/>
      <c r="H125" s="45"/>
      <c r="I125" s="4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22.5" customHeight="1" x14ac:dyDescent="0.2">
      <c r="A126" s="17"/>
      <c r="B126" s="4"/>
      <c r="C126" s="4"/>
      <c r="D126" s="164"/>
      <c r="E126" s="45"/>
      <c r="F126" s="45"/>
      <c r="G126" s="45"/>
      <c r="H126" s="45"/>
      <c r="I126" s="4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22.5" customHeight="1" x14ac:dyDescent="0.2">
      <c r="A127" s="17"/>
      <c r="B127" s="4"/>
      <c r="C127" s="4"/>
      <c r="D127" s="164"/>
      <c r="E127" s="45"/>
      <c r="F127" s="45"/>
      <c r="G127" s="45"/>
      <c r="H127" s="45"/>
      <c r="I127" s="4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22.5" customHeight="1" x14ac:dyDescent="0.2">
      <c r="A128" s="17"/>
      <c r="B128" s="4"/>
      <c r="C128" s="4"/>
      <c r="D128" s="166"/>
      <c r="E128" s="45"/>
      <c r="F128" s="45"/>
      <c r="G128" s="45"/>
      <c r="H128" s="45"/>
      <c r="I128" s="4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22.5" customHeight="1" x14ac:dyDescent="0.2">
      <c r="A129" s="17"/>
      <c r="B129" s="4"/>
      <c r="C129" s="4"/>
      <c r="D129" s="164"/>
      <c r="E129" s="45"/>
      <c r="F129" s="45"/>
      <c r="G129" s="45"/>
      <c r="H129" s="45"/>
      <c r="I129" s="4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22.5" customHeight="1" x14ac:dyDescent="0.2">
      <c r="A130" s="17"/>
      <c r="B130" s="4"/>
      <c r="C130" s="4"/>
      <c r="D130" s="164"/>
      <c r="E130" s="45"/>
      <c r="F130" s="45"/>
      <c r="G130" s="45"/>
      <c r="H130" s="45"/>
      <c r="I130" s="4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22.5" customHeight="1" x14ac:dyDescent="0.2">
      <c r="A131" s="17"/>
      <c r="B131" s="4"/>
      <c r="C131" s="4"/>
      <c r="D131" s="164"/>
      <c r="E131" s="45"/>
      <c r="F131" s="45"/>
      <c r="G131" s="45"/>
      <c r="H131" s="45"/>
      <c r="I131" s="4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22.5" customHeight="1" x14ac:dyDescent="0.2">
      <c r="A132" s="17"/>
      <c r="B132" s="4"/>
      <c r="C132" s="4"/>
      <c r="D132" s="164"/>
      <c r="E132" s="45"/>
      <c r="F132" s="45"/>
      <c r="G132" s="45"/>
      <c r="H132" s="45"/>
      <c r="I132" s="4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22.5" customHeight="1" x14ac:dyDescent="0.2">
      <c r="A133" s="17"/>
      <c r="B133" s="4"/>
      <c r="C133" s="4"/>
      <c r="D133" s="164"/>
      <c r="E133" s="45"/>
      <c r="F133" s="45"/>
      <c r="G133" s="45"/>
      <c r="H133" s="45"/>
      <c r="I133" s="4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22.5" customHeight="1" x14ac:dyDescent="0.2">
      <c r="A134" s="17"/>
      <c r="B134" s="4"/>
      <c r="C134" s="4"/>
      <c r="D134" s="164"/>
      <c r="E134" s="45"/>
      <c r="F134" s="45"/>
      <c r="G134" s="45"/>
      <c r="H134" s="45"/>
      <c r="I134" s="4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22.5" customHeight="1" x14ac:dyDescent="0.2">
      <c r="A135" s="17"/>
      <c r="B135" s="4"/>
      <c r="C135" s="4"/>
      <c r="D135" s="164"/>
      <c r="E135" s="45"/>
      <c r="F135" s="45"/>
      <c r="G135" s="45"/>
      <c r="H135" s="45"/>
      <c r="I135" s="4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22.5" customHeight="1" x14ac:dyDescent="0.2">
      <c r="A136" s="17"/>
      <c r="B136" s="4"/>
      <c r="C136" s="4"/>
      <c r="D136" s="164"/>
      <c r="E136" s="45"/>
      <c r="F136" s="45"/>
      <c r="G136" s="45"/>
      <c r="H136" s="45"/>
      <c r="I136" s="4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22.5" customHeight="1" x14ac:dyDescent="0.2">
      <c r="A137" s="17"/>
      <c r="B137" s="4"/>
      <c r="C137" s="4"/>
      <c r="D137" s="46"/>
      <c r="E137" s="45"/>
      <c r="F137" s="45"/>
      <c r="G137" s="45"/>
      <c r="H137" s="45"/>
      <c r="I137" s="4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22.5" customHeight="1" x14ac:dyDescent="0.2">
      <c r="A138" s="17"/>
      <c r="B138" s="4"/>
      <c r="C138" s="4"/>
      <c r="D138" s="46"/>
      <c r="E138" s="45"/>
      <c r="F138" s="45"/>
      <c r="G138" s="45"/>
      <c r="H138" s="45"/>
      <c r="I138" s="4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22.5" customHeight="1" x14ac:dyDescent="0.2">
      <c r="A139" s="17"/>
      <c r="B139" s="4"/>
      <c r="C139" s="4"/>
      <c r="D139" s="46"/>
      <c r="E139" s="45"/>
      <c r="F139" s="45"/>
      <c r="G139" s="45"/>
      <c r="H139" s="45"/>
      <c r="I139" s="4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22.5" customHeight="1" x14ac:dyDescent="0.2">
      <c r="A140" s="17"/>
      <c r="B140" s="4"/>
      <c r="C140" s="4"/>
      <c r="D140" s="46"/>
      <c r="E140" s="45"/>
      <c r="F140" s="45"/>
      <c r="G140" s="45"/>
      <c r="H140" s="45"/>
      <c r="I140" s="4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22.5" customHeight="1" x14ac:dyDescent="0.2">
      <c r="A141" s="17"/>
      <c r="B141" s="4"/>
      <c r="C141" s="4"/>
      <c r="D141" s="46"/>
      <c r="E141" s="45"/>
      <c r="F141" s="45"/>
      <c r="G141" s="45"/>
      <c r="H141" s="45"/>
      <c r="I141" s="4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22.5" customHeight="1" x14ac:dyDescent="0.2">
      <c r="A142" s="17"/>
      <c r="B142" s="4"/>
      <c r="C142" s="4"/>
      <c r="D142" s="46"/>
      <c r="E142" s="45"/>
      <c r="F142" s="45"/>
      <c r="G142" s="45"/>
      <c r="H142" s="45"/>
      <c r="I142" s="4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22.5" customHeight="1" x14ac:dyDescent="0.2">
      <c r="A143" s="17"/>
      <c r="B143" s="4"/>
      <c r="C143" s="4"/>
      <c r="D143" s="46"/>
      <c r="E143" s="45"/>
      <c r="F143" s="45"/>
      <c r="G143" s="45"/>
      <c r="H143" s="45"/>
      <c r="I143" s="4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22.5" customHeight="1" x14ac:dyDescent="0.2">
      <c r="A144" s="17"/>
      <c r="B144" s="4"/>
      <c r="C144" s="4"/>
      <c r="D144" s="46"/>
      <c r="E144" s="45"/>
      <c r="F144" s="45"/>
      <c r="G144" s="45"/>
      <c r="H144" s="45"/>
      <c r="I144" s="4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22.5" customHeight="1" x14ac:dyDescent="0.2">
      <c r="A145" s="17"/>
      <c r="B145" s="4"/>
      <c r="C145" s="4"/>
      <c r="D145" s="46"/>
      <c r="E145" s="45"/>
      <c r="F145" s="45"/>
      <c r="G145" s="45"/>
      <c r="H145" s="45"/>
      <c r="I145" s="4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22.5" customHeight="1" x14ac:dyDescent="0.2">
      <c r="A146" s="17"/>
      <c r="B146" s="4"/>
      <c r="C146" s="4"/>
      <c r="D146" s="46"/>
      <c r="E146" s="45"/>
      <c r="F146" s="45"/>
      <c r="G146" s="45"/>
      <c r="H146" s="45"/>
      <c r="I146" s="4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22.5" customHeight="1" x14ac:dyDescent="0.2">
      <c r="A147" s="17"/>
      <c r="B147" s="4"/>
      <c r="C147" s="4"/>
      <c r="D147" s="46"/>
      <c r="E147" s="45"/>
      <c r="F147" s="45"/>
      <c r="G147" s="45"/>
      <c r="H147" s="45"/>
      <c r="I147" s="4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22.5" customHeight="1" x14ac:dyDescent="0.2">
      <c r="A148" s="17"/>
      <c r="B148" s="4"/>
      <c r="C148" s="4"/>
      <c r="D148" s="46"/>
      <c r="E148" s="45"/>
      <c r="F148" s="45"/>
      <c r="G148" s="45"/>
      <c r="H148" s="45"/>
      <c r="I148" s="4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22.5" customHeight="1" x14ac:dyDescent="0.2">
      <c r="A149" s="17"/>
      <c r="B149" s="4"/>
      <c r="C149" s="4"/>
      <c r="D149" s="46"/>
      <c r="E149" s="45"/>
      <c r="F149" s="45"/>
      <c r="G149" s="45"/>
      <c r="H149" s="45"/>
      <c r="I149" s="4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22.5" customHeight="1" x14ac:dyDescent="0.2">
      <c r="A150" s="17"/>
      <c r="B150" s="4"/>
      <c r="C150" s="4"/>
      <c r="D150" s="46"/>
      <c r="E150" s="45"/>
      <c r="F150" s="45"/>
      <c r="G150" s="45"/>
      <c r="H150" s="45"/>
      <c r="I150" s="4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22.5" customHeight="1" x14ac:dyDescent="0.2">
      <c r="A151" s="17"/>
      <c r="B151" s="4"/>
      <c r="C151" s="4"/>
      <c r="D151" s="46"/>
      <c r="E151" s="45"/>
      <c r="F151" s="45"/>
      <c r="G151" s="45"/>
      <c r="H151" s="45"/>
      <c r="I151" s="4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22.5" customHeight="1" x14ac:dyDescent="0.2">
      <c r="A152" s="17"/>
      <c r="B152" s="4"/>
      <c r="C152" s="4"/>
      <c r="D152" s="46"/>
      <c r="E152" s="45"/>
      <c r="F152" s="45"/>
      <c r="G152" s="45"/>
      <c r="H152" s="45"/>
      <c r="I152" s="4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22.5" customHeight="1" x14ac:dyDescent="0.2">
      <c r="A153" s="17"/>
      <c r="B153" s="4"/>
      <c r="C153" s="4"/>
      <c r="D153" s="46"/>
      <c r="E153" s="45"/>
      <c r="F153" s="45"/>
      <c r="G153" s="45"/>
      <c r="H153" s="45"/>
      <c r="I153" s="4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22.5" customHeight="1" x14ac:dyDescent="0.2">
      <c r="A154" s="17"/>
      <c r="B154" s="4"/>
      <c r="C154" s="4"/>
      <c r="D154" s="46"/>
      <c r="E154" s="45"/>
      <c r="F154" s="45"/>
      <c r="G154" s="45"/>
      <c r="H154" s="45"/>
      <c r="I154" s="4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22.5" customHeight="1" x14ac:dyDescent="0.2">
      <c r="A155" s="17"/>
      <c r="B155" s="4"/>
      <c r="C155" s="4"/>
      <c r="D155" s="46"/>
      <c r="E155" s="45"/>
      <c r="F155" s="45"/>
      <c r="G155" s="45"/>
      <c r="H155" s="45"/>
      <c r="I155" s="4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22.5" customHeight="1" x14ac:dyDescent="0.2">
      <c r="A156" s="17"/>
      <c r="B156" s="4"/>
      <c r="C156" s="4"/>
      <c r="D156" s="46"/>
      <c r="E156" s="45"/>
      <c r="F156" s="45"/>
      <c r="G156" s="45"/>
      <c r="H156" s="45"/>
      <c r="I156" s="4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22.5" customHeight="1" x14ac:dyDescent="0.2">
      <c r="A157" s="17"/>
      <c r="B157" s="4"/>
      <c r="C157" s="4"/>
      <c r="D157" s="46"/>
      <c r="E157" s="45"/>
      <c r="F157" s="45"/>
      <c r="G157" s="45"/>
      <c r="H157" s="45"/>
      <c r="I157" s="4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22.5" customHeight="1" x14ac:dyDescent="0.2">
      <c r="A158" s="17"/>
      <c r="B158" s="4"/>
      <c r="C158" s="4"/>
      <c r="D158" s="46"/>
      <c r="E158" s="45"/>
      <c r="F158" s="45"/>
      <c r="G158" s="45"/>
      <c r="H158" s="45"/>
      <c r="I158" s="4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22.5" customHeight="1" x14ac:dyDescent="0.2">
      <c r="A159" s="17"/>
      <c r="B159" s="4"/>
      <c r="C159" s="4"/>
      <c r="D159" s="46"/>
      <c r="E159" s="45"/>
      <c r="F159" s="45"/>
      <c r="G159" s="45"/>
      <c r="H159" s="45"/>
      <c r="I159" s="4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22.5" customHeight="1" x14ac:dyDescent="0.2">
      <c r="A160" s="17"/>
      <c r="B160" s="4"/>
      <c r="C160" s="4"/>
      <c r="D160" s="46"/>
      <c r="E160" s="45"/>
      <c r="F160" s="45"/>
      <c r="G160" s="45"/>
      <c r="H160" s="45"/>
      <c r="I160" s="4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22.5" customHeight="1" x14ac:dyDescent="0.2">
      <c r="A161" s="17"/>
      <c r="B161" s="4"/>
      <c r="C161" s="4"/>
      <c r="D161" s="46"/>
      <c r="E161" s="45"/>
      <c r="F161" s="45"/>
      <c r="G161" s="45"/>
      <c r="H161" s="45"/>
      <c r="I161" s="4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22.5" customHeight="1" x14ac:dyDescent="0.2">
      <c r="A162" s="17"/>
      <c r="B162" s="4"/>
      <c r="C162" s="4"/>
      <c r="D162" s="46"/>
      <c r="E162" s="45"/>
      <c r="F162" s="45"/>
      <c r="G162" s="45"/>
      <c r="H162" s="45"/>
      <c r="I162" s="4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22.5" customHeight="1" x14ac:dyDescent="0.2">
      <c r="A163" s="17"/>
      <c r="B163" s="4"/>
      <c r="C163" s="4"/>
      <c r="D163" s="46"/>
      <c r="E163" s="45"/>
      <c r="F163" s="45"/>
      <c r="G163" s="45"/>
      <c r="H163" s="45"/>
      <c r="I163" s="4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22.5" customHeight="1" x14ac:dyDescent="0.2">
      <c r="A164" s="17"/>
      <c r="B164" s="4"/>
      <c r="C164" s="4"/>
      <c r="D164" s="46"/>
      <c r="E164" s="45"/>
      <c r="F164" s="45"/>
      <c r="G164" s="45"/>
      <c r="H164" s="45"/>
      <c r="I164" s="4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22.5" customHeight="1" x14ac:dyDescent="0.2">
      <c r="A165" s="17"/>
      <c r="B165" s="4"/>
      <c r="C165" s="4"/>
      <c r="D165" s="46"/>
      <c r="E165" s="45"/>
      <c r="F165" s="45"/>
      <c r="G165" s="45"/>
      <c r="H165" s="45"/>
      <c r="I165" s="4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22.5" customHeight="1" x14ac:dyDescent="0.2">
      <c r="A166" s="17"/>
      <c r="B166" s="4"/>
      <c r="C166" s="4"/>
      <c r="D166" s="46"/>
      <c r="E166" s="45"/>
      <c r="F166" s="45"/>
      <c r="G166" s="45"/>
      <c r="H166" s="45"/>
      <c r="I166" s="4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22.5" customHeight="1" x14ac:dyDescent="0.2">
      <c r="A167" s="17"/>
      <c r="B167" s="4"/>
      <c r="C167" s="4"/>
      <c r="D167" s="46"/>
      <c r="E167" s="45"/>
      <c r="F167" s="45"/>
      <c r="G167" s="45"/>
      <c r="H167" s="45"/>
      <c r="I167" s="4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22.5" customHeight="1" x14ac:dyDescent="0.2">
      <c r="A168" s="17"/>
      <c r="B168" s="4"/>
      <c r="C168" s="4"/>
      <c r="D168" s="46"/>
      <c r="E168" s="45"/>
      <c r="F168" s="45"/>
      <c r="G168" s="45"/>
      <c r="H168" s="45"/>
      <c r="I168" s="4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22.5" customHeight="1" x14ac:dyDescent="0.2">
      <c r="A169" s="17"/>
      <c r="B169" s="4"/>
      <c r="C169" s="4"/>
      <c r="D169" s="46"/>
      <c r="E169" s="45"/>
      <c r="F169" s="45"/>
      <c r="G169" s="45"/>
      <c r="H169" s="45"/>
      <c r="I169" s="4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22.5" customHeight="1" x14ac:dyDescent="0.2">
      <c r="A170" s="17"/>
      <c r="B170" s="4"/>
      <c r="C170" s="4"/>
      <c r="D170" s="46"/>
      <c r="E170" s="45"/>
      <c r="F170" s="45"/>
      <c r="G170" s="45"/>
      <c r="H170" s="45"/>
      <c r="I170" s="4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22.5" customHeight="1" x14ac:dyDescent="0.2">
      <c r="A171" s="17"/>
      <c r="B171" s="4"/>
      <c r="C171" s="4"/>
      <c r="D171" s="46"/>
      <c r="E171" s="45"/>
      <c r="F171" s="45"/>
      <c r="G171" s="45"/>
      <c r="H171" s="45"/>
      <c r="I171" s="4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22.5" customHeight="1" x14ac:dyDescent="0.2">
      <c r="A172" s="17"/>
      <c r="B172" s="4"/>
      <c r="C172" s="4"/>
      <c r="D172" s="46"/>
      <c r="E172" s="45"/>
      <c r="F172" s="45"/>
      <c r="G172" s="45"/>
      <c r="H172" s="45"/>
      <c r="I172" s="4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22.5" customHeight="1" x14ac:dyDescent="0.2">
      <c r="A173" s="17"/>
      <c r="B173" s="4"/>
      <c r="C173" s="4"/>
      <c r="D173" s="46"/>
      <c r="E173" s="45"/>
      <c r="F173" s="45"/>
      <c r="G173" s="45"/>
      <c r="H173" s="45"/>
      <c r="I173" s="4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22.5" customHeight="1" x14ac:dyDescent="0.2">
      <c r="A174" s="17"/>
      <c r="B174" s="4"/>
      <c r="C174" s="4"/>
      <c r="D174" s="46"/>
      <c r="E174" s="45"/>
      <c r="F174" s="45"/>
      <c r="G174" s="45"/>
      <c r="H174" s="45"/>
      <c r="I174" s="4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22.5" customHeight="1" x14ac:dyDescent="0.2">
      <c r="A175" s="17"/>
      <c r="B175" s="4"/>
      <c r="C175" s="4"/>
      <c r="D175" s="46"/>
      <c r="E175" s="45"/>
      <c r="F175" s="45"/>
      <c r="G175" s="45"/>
      <c r="H175" s="45"/>
      <c r="I175" s="4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22.5" customHeight="1" x14ac:dyDescent="0.2">
      <c r="A176" s="17"/>
      <c r="B176" s="4"/>
      <c r="C176" s="4"/>
      <c r="D176" s="46"/>
      <c r="E176" s="45"/>
      <c r="F176" s="45"/>
      <c r="G176" s="45"/>
      <c r="H176" s="45"/>
      <c r="I176" s="4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22.5" customHeight="1" x14ac:dyDescent="0.2">
      <c r="A177" s="17"/>
      <c r="B177" s="4"/>
      <c r="C177" s="4"/>
      <c r="D177" s="46"/>
      <c r="E177" s="45"/>
      <c r="F177" s="45"/>
      <c r="G177" s="45"/>
      <c r="H177" s="45"/>
      <c r="I177" s="4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22.5" customHeight="1" x14ac:dyDescent="0.2">
      <c r="A178" s="17"/>
      <c r="B178" s="4"/>
      <c r="C178" s="4"/>
      <c r="D178" s="46"/>
      <c r="E178" s="45"/>
      <c r="F178" s="45"/>
      <c r="G178" s="45"/>
      <c r="H178" s="45"/>
      <c r="I178" s="4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22.5" customHeight="1" x14ac:dyDescent="0.2">
      <c r="A179" s="17"/>
      <c r="B179" s="4"/>
      <c r="C179" s="4"/>
      <c r="D179" s="46"/>
      <c r="E179" s="45"/>
      <c r="F179" s="45"/>
      <c r="G179" s="45"/>
      <c r="H179" s="45"/>
      <c r="I179" s="4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22.5" customHeight="1" x14ac:dyDescent="0.2">
      <c r="A180" s="17"/>
      <c r="B180" s="4"/>
      <c r="C180" s="4"/>
      <c r="D180" s="46"/>
      <c r="E180" s="45"/>
      <c r="F180" s="45"/>
      <c r="G180" s="45"/>
      <c r="H180" s="45"/>
      <c r="I180" s="4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22.5" customHeight="1" x14ac:dyDescent="0.2">
      <c r="A181" s="17"/>
      <c r="B181" s="4"/>
      <c r="C181" s="4"/>
      <c r="D181" s="46"/>
      <c r="E181" s="45"/>
      <c r="F181" s="45"/>
      <c r="G181" s="45"/>
      <c r="H181" s="45"/>
      <c r="I181" s="4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22.5" customHeight="1" x14ac:dyDescent="0.2">
      <c r="A182" s="17"/>
      <c r="B182" s="4"/>
      <c r="C182" s="4"/>
      <c r="D182" s="46"/>
      <c r="E182" s="45"/>
      <c r="F182" s="45"/>
      <c r="G182" s="45"/>
      <c r="H182" s="45"/>
      <c r="I182" s="4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22.5" customHeight="1" x14ac:dyDescent="0.2">
      <c r="A183" s="17"/>
      <c r="B183" s="4"/>
      <c r="C183" s="4"/>
      <c r="D183" s="46"/>
      <c r="E183" s="45"/>
      <c r="F183" s="45"/>
      <c r="G183" s="45"/>
      <c r="H183" s="45"/>
      <c r="I183" s="4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22.5" customHeight="1" x14ac:dyDescent="0.2">
      <c r="A184" s="17"/>
      <c r="B184" s="4"/>
      <c r="C184" s="4"/>
      <c r="D184" s="46"/>
      <c r="E184" s="45"/>
      <c r="F184" s="45"/>
      <c r="G184" s="45"/>
      <c r="H184" s="45"/>
      <c r="I184" s="4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22.5" customHeight="1" x14ac:dyDescent="0.2">
      <c r="A185" s="17"/>
      <c r="B185" s="4"/>
      <c r="C185" s="4"/>
      <c r="D185" s="46"/>
      <c r="E185" s="45"/>
      <c r="F185" s="45"/>
      <c r="G185" s="45"/>
      <c r="H185" s="45"/>
      <c r="I185" s="4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22.5" customHeight="1" x14ac:dyDescent="0.2">
      <c r="A186" s="17"/>
      <c r="B186" s="4"/>
      <c r="C186" s="4"/>
      <c r="D186" s="46"/>
      <c r="E186" s="45"/>
      <c r="F186" s="45"/>
      <c r="G186" s="45"/>
      <c r="H186" s="45"/>
      <c r="I186" s="4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22.5" customHeight="1" x14ac:dyDescent="0.2">
      <c r="A187" s="17"/>
      <c r="B187" s="4"/>
      <c r="C187" s="4"/>
      <c r="E187" s="45"/>
      <c r="F187" s="45"/>
      <c r="G187" s="45"/>
      <c r="H187" s="45"/>
      <c r="I187" s="4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22.5" customHeight="1" x14ac:dyDescent="0.2">
      <c r="A188" s="17"/>
      <c r="B188" s="4"/>
      <c r="C188" s="4"/>
      <c r="E188" s="45"/>
      <c r="F188" s="45"/>
      <c r="G188" s="45"/>
      <c r="H188" s="45"/>
      <c r="I188" s="4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22.5" customHeight="1" x14ac:dyDescent="0.2">
      <c r="A189" s="17"/>
      <c r="B189" s="4"/>
      <c r="C189" s="4"/>
      <c r="E189" s="45"/>
      <c r="F189" s="45"/>
      <c r="G189" s="45"/>
      <c r="H189" s="45"/>
      <c r="I189" s="4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22.5" customHeight="1" x14ac:dyDescent="0.2">
      <c r="A190" s="17"/>
      <c r="B190" s="4"/>
      <c r="C190" s="4"/>
      <c r="E190" s="45"/>
      <c r="F190" s="45"/>
      <c r="G190" s="45"/>
      <c r="H190" s="45"/>
      <c r="I190" s="4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22.5" customHeight="1" x14ac:dyDescent="0.2">
      <c r="A191" s="17"/>
      <c r="B191" s="4"/>
      <c r="C191" s="4"/>
      <c r="E191" s="45"/>
      <c r="F191" s="45"/>
      <c r="G191" s="45"/>
      <c r="H191" s="45"/>
      <c r="I191" s="4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22.5" customHeight="1" x14ac:dyDescent="0.2">
      <c r="A192" s="17"/>
      <c r="B192" s="4"/>
      <c r="C192" s="4"/>
      <c r="E192" s="45"/>
      <c r="F192" s="45"/>
      <c r="G192" s="45"/>
      <c r="H192" s="45"/>
      <c r="I192" s="4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22.5" customHeight="1" x14ac:dyDescent="0.2">
      <c r="A193" s="17"/>
      <c r="B193" s="4"/>
      <c r="C193" s="4"/>
      <c r="E193" s="45"/>
      <c r="F193" s="45"/>
      <c r="G193" s="45"/>
      <c r="H193" s="45"/>
      <c r="I193" s="4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22.5" customHeight="1" x14ac:dyDescent="0.2">
      <c r="A194" s="17"/>
      <c r="B194" s="4"/>
      <c r="C194" s="4"/>
      <c r="E194" s="45"/>
      <c r="F194" s="45"/>
      <c r="G194" s="45"/>
      <c r="H194" s="45"/>
      <c r="I194" s="4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22.5" customHeight="1" x14ac:dyDescent="0.2">
      <c r="A195" s="17"/>
      <c r="B195" s="4"/>
      <c r="C195" s="4"/>
      <c r="E195" s="45"/>
      <c r="F195" s="45"/>
      <c r="G195" s="45"/>
      <c r="H195" s="45"/>
      <c r="I195" s="4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22.5" customHeight="1" x14ac:dyDescent="0.2">
      <c r="A196" s="17"/>
      <c r="B196" s="4"/>
      <c r="C196" s="4"/>
      <c r="E196" s="45"/>
      <c r="F196" s="45"/>
      <c r="G196" s="45"/>
      <c r="H196" s="45"/>
      <c r="I196" s="4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22.5" customHeight="1" x14ac:dyDescent="0.2">
      <c r="A197" s="17"/>
      <c r="B197" s="4"/>
      <c r="C197" s="4"/>
      <c r="E197" s="45"/>
      <c r="F197" s="45"/>
      <c r="G197" s="45"/>
      <c r="H197" s="45"/>
      <c r="I197" s="4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22.5" customHeight="1" x14ac:dyDescent="0.2">
      <c r="A198" s="17"/>
      <c r="B198" s="4"/>
      <c r="C198" s="4"/>
      <c r="E198" s="45"/>
      <c r="F198" s="45"/>
      <c r="G198" s="45"/>
      <c r="H198" s="45"/>
      <c r="I198" s="4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22.5" customHeight="1" x14ac:dyDescent="0.2">
      <c r="A199" s="17"/>
      <c r="B199" s="4"/>
      <c r="C199" s="4"/>
      <c r="E199" s="45"/>
      <c r="F199" s="45"/>
      <c r="G199" s="45"/>
      <c r="H199" s="45"/>
      <c r="I199" s="4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22.5" customHeight="1" x14ac:dyDescent="0.2">
      <c r="A200" s="17"/>
      <c r="B200" s="4"/>
      <c r="C200" s="4"/>
      <c r="E200" s="45"/>
      <c r="F200" s="45"/>
      <c r="G200" s="45"/>
      <c r="H200" s="45"/>
      <c r="I200" s="4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22.5" customHeight="1" x14ac:dyDescent="0.2">
      <c r="A201" s="17"/>
      <c r="B201" s="4"/>
      <c r="C201" s="4"/>
      <c r="E201" s="45"/>
      <c r="F201" s="45"/>
      <c r="G201" s="45"/>
      <c r="H201" s="45"/>
      <c r="I201" s="4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22.5" customHeight="1" x14ac:dyDescent="0.2">
      <c r="A202" s="17"/>
      <c r="B202" s="4"/>
      <c r="C202" s="4"/>
      <c r="E202" s="45"/>
      <c r="F202" s="45"/>
      <c r="G202" s="45"/>
      <c r="H202" s="45"/>
      <c r="I202" s="4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22.5" customHeight="1" x14ac:dyDescent="0.2">
      <c r="A203" s="17"/>
      <c r="B203" s="4"/>
      <c r="C203" s="4"/>
      <c r="E203" s="45"/>
      <c r="F203" s="45"/>
      <c r="G203" s="45"/>
      <c r="H203" s="45"/>
      <c r="I203" s="4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22.5" customHeight="1" x14ac:dyDescent="0.2">
      <c r="A204" s="17"/>
      <c r="B204" s="4"/>
      <c r="C204" s="4"/>
      <c r="E204" s="45"/>
      <c r="F204" s="45"/>
      <c r="G204" s="45"/>
      <c r="H204" s="45"/>
      <c r="I204" s="4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22.5" customHeight="1" x14ac:dyDescent="0.2">
      <c r="A205" s="17"/>
      <c r="B205" s="4"/>
      <c r="C205" s="4"/>
      <c r="E205" s="45"/>
      <c r="F205" s="45"/>
      <c r="G205" s="45"/>
      <c r="H205" s="45"/>
      <c r="I205" s="4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22.5" customHeight="1" x14ac:dyDescent="0.2">
      <c r="A206" s="17"/>
      <c r="B206" s="4"/>
      <c r="C206" s="4"/>
      <c r="E206" s="45"/>
      <c r="F206" s="45"/>
      <c r="G206" s="45"/>
      <c r="H206" s="45"/>
      <c r="I206" s="4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22.5" customHeight="1" x14ac:dyDescent="0.2">
      <c r="A207" s="17"/>
      <c r="B207" s="4"/>
      <c r="C207" s="4"/>
      <c r="E207" s="45"/>
      <c r="F207" s="45"/>
      <c r="G207" s="45"/>
      <c r="H207" s="45"/>
      <c r="I207" s="4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22.5" customHeight="1" x14ac:dyDescent="0.2">
      <c r="A208" s="17"/>
      <c r="B208" s="4"/>
      <c r="C208" s="4"/>
      <c r="E208" s="45"/>
      <c r="F208" s="45"/>
      <c r="G208" s="45"/>
      <c r="H208" s="45"/>
      <c r="I208" s="4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22.5" customHeight="1" x14ac:dyDescent="0.2">
      <c r="A209" s="17"/>
      <c r="B209" s="4"/>
      <c r="C209" s="4"/>
      <c r="E209" s="45"/>
      <c r="F209" s="45"/>
      <c r="G209" s="45"/>
      <c r="H209" s="45"/>
      <c r="I209" s="4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22.5" customHeight="1" x14ac:dyDescent="0.2">
      <c r="A210" s="17"/>
      <c r="B210" s="4"/>
      <c r="C210" s="4"/>
      <c r="E210" s="45"/>
      <c r="F210" s="45"/>
      <c r="G210" s="45"/>
      <c r="H210" s="45"/>
      <c r="I210" s="4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22.5" customHeight="1" x14ac:dyDescent="0.2">
      <c r="A211" s="17"/>
      <c r="B211" s="4"/>
      <c r="C211" s="4"/>
      <c r="E211" s="45"/>
      <c r="F211" s="45"/>
      <c r="G211" s="45"/>
      <c r="H211" s="45"/>
      <c r="I211" s="4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22.5" customHeight="1" x14ac:dyDescent="0.2">
      <c r="A212" s="17"/>
      <c r="B212" s="4"/>
      <c r="C212" s="4"/>
      <c r="E212" s="45"/>
      <c r="F212" s="45"/>
      <c r="G212" s="45"/>
      <c r="H212" s="45"/>
      <c r="I212" s="4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22.5" customHeight="1" x14ac:dyDescent="0.2">
      <c r="A213" s="17"/>
      <c r="B213" s="4"/>
      <c r="C213" s="4"/>
      <c r="E213" s="45"/>
      <c r="F213" s="45"/>
      <c r="G213" s="45"/>
      <c r="H213" s="45"/>
      <c r="I213" s="4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22.5" customHeight="1" x14ac:dyDescent="0.2">
      <c r="A214" s="17"/>
      <c r="B214" s="4"/>
      <c r="C214" s="4"/>
      <c r="E214" s="45"/>
      <c r="F214" s="45"/>
      <c r="G214" s="45"/>
      <c r="H214" s="45"/>
      <c r="I214" s="4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22.5" customHeight="1" x14ac:dyDescent="0.2">
      <c r="A215" s="17"/>
      <c r="B215" s="4"/>
      <c r="C215" s="4"/>
      <c r="E215" s="45"/>
      <c r="F215" s="45"/>
      <c r="G215" s="45"/>
      <c r="H215" s="45"/>
      <c r="I215" s="4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22.5" customHeight="1" x14ac:dyDescent="0.2">
      <c r="A216" s="17"/>
      <c r="B216" s="4"/>
      <c r="C216" s="4"/>
      <c r="E216" s="45"/>
      <c r="F216" s="45"/>
      <c r="G216" s="45"/>
      <c r="H216" s="45"/>
      <c r="I216" s="4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22.5" customHeight="1" x14ac:dyDescent="0.2">
      <c r="A217" s="17"/>
      <c r="B217" s="4"/>
      <c r="C217" s="4"/>
      <c r="E217" s="45"/>
      <c r="F217" s="45"/>
      <c r="G217" s="45"/>
      <c r="H217" s="45"/>
      <c r="I217" s="4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22.5" customHeight="1" x14ac:dyDescent="0.2">
      <c r="A218" s="17"/>
      <c r="B218" s="4"/>
      <c r="C218" s="4"/>
      <c r="E218" s="45"/>
      <c r="F218" s="45"/>
      <c r="G218" s="45"/>
      <c r="H218" s="45"/>
      <c r="I218" s="4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22.5" customHeight="1" x14ac:dyDescent="0.2">
      <c r="A219" s="17"/>
      <c r="B219" s="4"/>
      <c r="C219" s="4"/>
      <c r="E219" s="45"/>
      <c r="F219" s="45"/>
      <c r="G219" s="45"/>
      <c r="H219" s="45"/>
      <c r="I219" s="4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22.5" customHeight="1" x14ac:dyDescent="0.2">
      <c r="A220" s="17"/>
      <c r="B220" s="4"/>
      <c r="C220" s="4"/>
      <c r="E220" s="45"/>
      <c r="F220" s="45"/>
      <c r="G220" s="45"/>
      <c r="H220" s="45"/>
      <c r="I220" s="4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22.5" customHeight="1" x14ac:dyDescent="0.2">
      <c r="A221" s="17"/>
      <c r="B221" s="4"/>
      <c r="C221" s="4"/>
      <c r="E221" s="45"/>
      <c r="F221" s="45"/>
      <c r="G221" s="45"/>
      <c r="H221" s="45"/>
      <c r="I221" s="4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22.5" customHeight="1" x14ac:dyDescent="0.2">
      <c r="A222" s="17"/>
      <c r="B222" s="4"/>
      <c r="C222" s="4"/>
      <c r="E222" s="45"/>
      <c r="F222" s="45"/>
      <c r="G222" s="45"/>
      <c r="H222" s="45"/>
      <c r="I222" s="45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22.5" customHeight="1" x14ac:dyDescent="0.2">
      <c r="A223" s="17"/>
      <c r="B223" s="4"/>
      <c r="C223" s="4"/>
      <c r="E223" s="45"/>
      <c r="F223" s="45"/>
      <c r="G223" s="45"/>
      <c r="H223" s="45"/>
      <c r="I223" s="45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22.5" customHeight="1" x14ac:dyDescent="0.2">
      <c r="A224" s="17"/>
      <c r="B224" s="4"/>
      <c r="C224" s="4"/>
      <c r="E224" s="45"/>
      <c r="F224" s="45"/>
      <c r="G224" s="45"/>
      <c r="H224" s="45"/>
      <c r="I224" s="45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22.5" customHeight="1" x14ac:dyDescent="0.2">
      <c r="A225" s="17"/>
      <c r="B225" s="4"/>
      <c r="C225" s="4"/>
      <c r="E225" s="45"/>
      <c r="F225" s="45"/>
      <c r="G225" s="45"/>
      <c r="H225" s="45"/>
      <c r="I225" s="45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22.5" customHeight="1" x14ac:dyDescent="0.2">
      <c r="A226" s="17"/>
      <c r="B226" s="4"/>
      <c r="C226" s="4"/>
      <c r="E226" s="45"/>
      <c r="F226" s="45"/>
      <c r="G226" s="45"/>
      <c r="H226" s="45"/>
      <c r="I226" s="4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22.5" customHeight="1" x14ac:dyDescent="0.2">
      <c r="A227" s="17"/>
      <c r="B227" s="4"/>
      <c r="C227" s="4"/>
      <c r="E227" s="45"/>
      <c r="F227" s="45"/>
      <c r="G227" s="45"/>
      <c r="H227" s="45"/>
      <c r="I227" s="45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22.5" customHeight="1" x14ac:dyDescent="0.2">
      <c r="A228" s="17"/>
      <c r="B228" s="4"/>
      <c r="C228" s="4"/>
      <c r="E228" s="45"/>
      <c r="F228" s="45"/>
      <c r="G228" s="45"/>
      <c r="H228" s="45"/>
      <c r="I228" s="45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22.5" customHeight="1" x14ac:dyDescent="0.2">
      <c r="A229" s="17"/>
      <c r="B229" s="4"/>
      <c r="C229" s="4"/>
      <c r="E229" s="45"/>
      <c r="F229" s="45"/>
      <c r="G229" s="45"/>
      <c r="H229" s="45"/>
      <c r="I229" s="45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22.5" customHeight="1" x14ac:dyDescent="0.2">
      <c r="A230" s="17"/>
      <c r="B230" s="4"/>
      <c r="C230" s="4"/>
      <c r="E230" s="45"/>
      <c r="F230" s="45"/>
      <c r="G230" s="45"/>
      <c r="H230" s="45"/>
      <c r="I230" s="45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22.5" customHeight="1" x14ac:dyDescent="0.2">
      <c r="A231" s="17"/>
      <c r="B231" s="4"/>
      <c r="C231" s="4"/>
      <c r="E231" s="45"/>
      <c r="F231" s="45"/>
      <c r="G231" s="45"/>
      <c r="H231" s="45"/>
      <c r="I231" s="45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22.5" customHeight="1" x14ac:dyDescent="0.2">
      <c r="A232" s="17"/>
      <c r="B232" s="4"/>
      <c r="C232" s="4"/>
      <c r="E232" s="45"/>
      <c r="F232" s="45"/>
      <c r="G232" s="45"/>
      <c r="H232" s="45"/>
      <c r="I232" s="45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22.5" customHeight="1" x14ac:dyDescent="0.2">
      <c r="A233" s="17"/>
      <c r="B233" s="4"/>
      <c r="C233" s="4"/>
      <c r="E233" s="45"/>
      <c r="F233" s="45"/>
      <c r="G233" s="45"/>
      <c r="H233" s="45"/>
      <c r="I233" s="4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22.5" customHeight="1" x14ac:dyDescent="0.2">
      <c r="A234" s="17"/>
      <c r="B234" s="4"/>
      <c r="C234" s="4"/>
      <c r="E234" s="45"/>
      <c r="F234" s="45"/>
      <c r="G234" s="45"/>
      <c r="H234" s="45"/>
      <c r="I234" s="45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22.5" customHeight="1" x14ac:dyDescent="0.2">
      <c r="A235" s="17"/>
      <c r="B235" s="4"/>
      <c r="C235" s="4"/>
      <c r="E235" s="45"/>
      <c r="F235" s="45"/>
      <c r="G235" s="45"/>
      <c r="H235" s="45"/>
      <c r="I235" s="45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22.5" customHeight="1" x14ac:dyDescent="0.2">
      <c r="A236" s="17"/>
      <c r="B236" s="4"/>
      <c r="C236" s="4"/>
      <c r="E236" s="45"/>
      <c r="F236" s="45"/>
      <c r="G236" s="45"/>
      <c r="H236" s="45"/>
      <c r="I236" s="45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22.5" customHeight="1" x14ac:dyDescent="0.2">
      <c r="A237" s="17"/>
      <c r="B237" s="4"/>
      <c r="C237" s="4"/>
      <c r="E237" s="45"/>
      <c r="F237" s="45"/>
      <c r="G237" s="45"/>
      <c r="H237" s="45"/>
      <c r="I237" s="4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22.5" customHeight="1" x14ac:dyDescent="0.2">
      <c r="A238" s="17"/>
      <c r="B238" s="4"/>
      <c r="C238" s="4"/>
      <c r="E238" s="45"/>
      <c r="F238" s="45"/>
      <c r="G238" s="45"/>
      <c r="H238" s="45"/>
      <c r="I238" s="4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22.5" customHeight="1" x14ac:dyDescent="0.2">
      <c r="A239" s="17"/>
      <c r="B239" s="4"/>
      <c r="C239" s="4"/>
      <c r="E239" s="45"/>
      <c r="F239" s="45"/>
      <c r="G239" s="45"/>
      <c r="H239" s="45"/>
      <c r="I239" s="4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22.5" customHeight="1" x14ac:dyDescent="0.2">
      <c r="A240" s="17"/>
      <c r="B240" s="4"/>
      <c r="C240" s="4"/>
      <c r="E240" s="45"/>
      <c r="F240" s="45"/>
      <c r="G240" s="45"/>
      <c r="H240" s="45"/>
      <c r="I240" s="4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22.5" customHeight="1" x14ac:dyDescent="0.2">
      <c r="A241" s="17"/>
      <c r="B241" s="4"/>
      <c r="C241" s="4"/>
      <c r="E241" s="45"/>
      <c r="F241" s="45"/>
      <c r="G241" s="45"/>
      <c r="H241" s="45"/>
      <c r="I241" s="4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22.5" customHeight="1" x14ac:dyDescent="0.2">
      <c r="A242" s="17"/>
      <c r="B242" s="4"/>
      <c r="C242" s="4"/>
      <c r="E242" s="45"/>
      <c r="F242" s="45"/>
      <c r="G242" s="45"/>
      <c r="H242" s="45"/>
      <c r="I242" s="4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22.5" customHeight="1" x14ac:dyDescent="0.2">
      <c r="A243" s="17"/>
      <c r="B243" s="4"/>
      <c r="C243" s="4"/>
      <c r="E243" s="45"/>
      <c r="F243" s="45"/>
      <c r="G243" s="45"/>
      <c r="H243" s="45"/>
      <c r="I243" s="4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22.5" customHeight="1" x14ac:dyDescent="0.2">
      <c r="A244" s="17"/>
      <c r="B244" s="4"/>
      <c r="C244" s="4"/>
      <c r="E244" s="45"/>
      <c r="F244" s="45"/>
      <c r="G244" s="45"/>
      <c r="H244" s="45"/>
      <c r="I244" s="4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22.5" customHeight="1" x14ac:dyDescent="0.2">
      <c r="A245" s="17"/>
      <c r="B245" s="4"/>
      <c r="C245" s="4"/>
      <c r="E245" s="45"/>
      <c r="F245" s="45"/>
      <c r="G245" s="45"/>
      <c r="H245" s="45"/>
      <c r="I245" s="4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22.5" customHeight="1" x14ac:dyDescent="0.2">
      <c r="A246" s="17"/>
      <c r="B246" s="4"/>
      <c r="C246" s="4"/>
      <c r="E246" s="45"/>
      <c r="F246" s="45"/>
      <c r="G246" s="45"/>
      <c r="H246" s="45"/>
      <c r="I246" s="4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22.5" customHeight="1" x14ac:dyDescent="0.2">
      <c r="E247" s="45"/>
      <c r="F247" s="45"/>
      <c r="G247" s="45"/>
      <c r="H247" s="45"/>
      <c r="I247" s="45"/>
    </row>
    <row r="248" spans="1:24" ht="22.5" customHeight="1" x14ac:dyDescent="0.2">
      <c r="E248" s="45"/>
      <c r="F248" s="45"/>
      <c r="G248" s="45"/>
      <c r="H248" s="45"/>
      <c r="I248" s="45"/>
    </row>
    <row r="249" spans="1:24" ht="22.5" customHeight="1" x14ac:dyDescent="0.2">
      <c r="E249" s="45"/>
      <c r="F249" s="45"/>
      <c r="G249" s="45"/>
      <c r="H249" s="45"/>
      <c r="I249" s="45"/>
    </row>
    <row r="250" spans="1:24" ht="22.5" customHeight="1" x14ac:dyDescent="0.2">
      <c r="E250" s="45"/>
      <c r="F250" s="45"/>
      <c r="G250" s="45"/>
      <c r="H250" s="45"/>
      <c r="I250" s="45"/>
    </row>
    <row r="251" spans="1:24" ht="22.5" customHeight="1" x14ac:dyDescent="0.2">
      <c r="E251" s="45"/>
      <c r="F251" s="45"/>
      <c r="G251" s="45"/>
      <c r="H251" s="45"/>
      <c r="I251" s="45"/>
    </row>
    <row r="252" spans="1:24" ht="22.5" customHeight="1" x14ac:dyDescent="0.2">
      <c r="E252" s="45"/>
      <c r="F252" s="45"/>
      <c r="G252" s="45"/>
      <c r="H252" s="45"/>
      <c r="I252" s="45"/>
    </row>
    <row r="253" spans="1:24" ht="22.5" customHeight="1" x14ac:dyDescent="0.2">
      <c r="E253" s="45"/>
      <c r="F253" s="45"/>
      <c r="G253" s="45"/>
      <c r="H253" s="45"/>
      <c r="I253" s="45"/>
    </row>
    <row r="254" spans="1:24" ht="22.5" customHeight="1" x14ac:dyDescent="0.2">
      <c r="E254" s="45"/>
      <c r="F254" s="45"/>
      <c r="G254" s="45"/>
      <c r="H254" s="45"/>
      <c r="I254" s="45"/>
    </row>
    <row r="255" spans="1:24" ht="22.5" customHeight="1" x14ac:dyDescent="0.2">
      <c r="E255" s="45"/>
      <c r="F255" s="45"/>
      <c r="G255" s="45"/>
      <c r="H255" s="45"/>
      <c r="I255" s="45"/>
    </row>
    <row r="256" spans="1:24" ht="22.5" customHeight="1" x14ac:dyDescent="0.2">
      <c r="E256" s="45"/>
      <c r="F256" s="45"/>
      <c r="G256" s="45"/>
      <c r="H256" s="45"/>
      <c r="I256" s="45"/>
    </row>
    <row r="257" spans="5:9" ht="22.5" customHeight="1" x14ac:dyDescent="0.2">
      <c r="E257" s="45"/>
      <c r="F257" s="45"/>
      <c r="G257" s="45"/>
      <c r="H257" s="45"/>
      <c r="I257" s="45"/>
    </row>
    <row r="258" spans="5:9" ht="22.5" customHeight="1" x14ac:dyDescent="0.2">
      <c r="E258" s="45"/>
      <c r="F258" s="45"/>
      <c r="G258" s="45"/>
      <c r="H258" s="45"/>
      <c r="I258" s="45"/>
    </row>
    <row r="259" spans="5:9" ht="22.5" customHeight="1" x14ac:dyDescent="0.2">
      <c r="E259" s="45"/>
      <c r="F259" s="45"/>
      <c r="G259" s="45"/>
      <c r="H259" s="45"/>
      <c r="I259" s="45"/>
    </row>
    <row r="260" spans="5:9" ht="22.5" customHeight="1" x14ac:dyDescent="0.2">
      <c r="E260" s="45"/>
      <c r="F260" s="45"/>
      <c r="G260" s="45"/>
      <c r="H260" s="45"/>
      <c r="I260" s="45"/>
    </row>
    <row r="261" spans="5:9" ht="22.5" customHeight="1" x14ac:dyDescent="0.2">
      <c r="E261" s="45"/>
      <c r="F261" s="45"/>
      <c r="G261" s="45"/>
      <c r="H261" s="45"/>
      <c r="I261" s="45"/>
    </row>
    <row r="262" spans="5:9" ht="22.5" customHeight="1" x14ac:dyDescent="0.2">
      <c r="E262" s="45"/>
      <c r="F262" s="45"/>
      <c r="G262" s="45"/>
      <c r="H262" s="45"/>
      <c r="I262" s="45"/>
    </row>
    <row r="263" spans="5:9" ht="22.5" customHeight="1" x14ac:dyDescent="0.2">
      <c r="E263" s="45"/>
      <c r="F263" s="45"/>
      <c r="G263" s="45"/>
      <c r="H263" s="45"/>
      <c r="I263" s="45"/>
    </row>
    <row r="264" spans="5:9" ht="22.5" customHeight="1" x14ac:dyDescent="0.2">
      <c r="E264" s="45"/>
      <c r="F264" s="45"/>
      <c r="G264" s="45"/>
      <c r="H264" s="45"/>
      <c r="I264" s="45"/>
    </row>
    <row r="265" spans="5:9" ht="22.5" customHeight="1" x14ac:dyDescent="0.2">
      <c r="E265" s="45"/>
      <c r="F265" s="45"/>
      <c r="G265" s="45"/>
      <c r="H265" s="45"/>
      <c r="I265" s="45"/>
    </row>
    <row r="266" spans="5:9" ht="22.5" customHeight="1" x14ac:dyDescent="0.2">
      <c r="E266" s="45"/>
      <c r="F266" s="45"/>
      <c r="G266" s="45"/>
      <c r="H266" s="45"/>
      <c r="I266" s="45"/>
    </row>
    <row r="267" spans="5:9" ht="19.5" customHeight="1" x14ac:dyDescent="0.2">
      <c r="E267" s="45"/>
      <c r="F267" s="45"/>
      <c r="G267" s="45"/>
      <c r="H267" s="45"/>
      <c r="I267" s="45"/>
    </row>
    <row r="268" spans="5:9" ht="19.5" customHeight="1" x14ac:dyDescent="0.2">
      <c r="E268" s="45"/>
      <c r="F268" s="45"/>
      <c r="G268" s="45"/>
      <c r="H268" s="45"/>
      <c r="I268" s="45"/>
    </row>
    <row r="269" spans="5:9" ht="19.5" customHeight="1" x14ac:dyDescent="0.2">
      <c r="E269" s="45"/>
      <c r="F269" s="45"/>
      <c r="G269" s="45"/>
      <c r="H269" s="45"/>
      <c r="I269" s="45"/>
    </row>
    <row r="270" spans="5:9" ht="19.5" customHeight="1" x14ac:dyDescent="0.2">
      <c r="E270" s="45"/>
      <c r="F270" s="45"/>
      <c r="G270" s="45"/>
      <c r="H270" s="45"/>
      <c r="I270" s="45"/>
    </row>
    <row r="271" spans="5:9" ht="19.5" customHeight="1" x14ac:dyDescent="0.2">
      <c r="E271" s="45"/>
      <c r="F271" s="45"/>
      <c r="G271" s="45"/>
      <c r="H271" s="45"/>
      <c r="I271" s="45"/>
    </row>
    <row r="272" spans="5:9" ht="19.5" customHeight="1" x14ac:dyDescent="0.2">
      <c r="E272" s="45"/>
      <c r="F272" s="45"/>
      <c r="G272" s="45"/>
      <c r="H272" s="45"/>
      <c r="I272" s="45"/>
    </row>
    <row r="273" spans="5:9" ht="19.5" customHeight="1" x14ac:dyDescent="0.2">
      <c r="E273" s="45"/>
      <c r="F273" s="45"/>
      <c r="G273" s="45"/>
      <c r="H273" s="45"/>
      <c r="I273" s="45"/>
    </row>
    <row r="274" spans="5:9" ht="19.5" customHeight="1" x14ac:dyDescent="0.2">
      <c r="E274" s="45"/>
      <c r="F274" s="45"/>
      <c r="G274" s="45"/>
      <c r="H274" s="45"/>
      <c r="I274" s="45"/>
    </row>
    <row r="275" spans="5:9" ht="19.5" customHeight="1" x14ac:dyDescent="0.2">
      <c r="E275" s="45"/>
      <c r="F275" s="45"/>
      <c r="G275" s="45"/>
      <c r="H275" s="45"/>
      <c r="I275" s="45"/>
    </row>
    <row r="276" spans="5:9" ht="19.5" customHeight="1" x14ac:dyDescent="0.2">
      <c r="E276" s="45"/>
      <c r="F276" s="45"/>
      <c r="G276" s="45"/>
      <c r="H276" s="45"/>
      <c r="I276" s="45"/>
    </row>
    <row r="277" spans="5:9" ht="19.5" customHeight="1" x14ac:dyDescent="0.2">
      <c r="E277" s="45"/>
      <c r="F277" s="45"/>
      <c r="G277" s="45"/>
      <c r="H277" s="45"/>
      <c r="I277" s="45"/>
    </row>
    <row r="278" spans="5:9" ht="19.5" customHeight="1" x14ac:dyDescent="0.2">
      <c r="E278" s="45"/>
      <c r="F278" s="45"/>
      <c r="G278" s="45"/>
      <c r="H278" s="45"/>
      <c r="I278" s="45"/>
    </row>
    <row r="279" spans="5:9" ht="19.5" customHeight="1" x14ac:dyDescent="0.2">
      <c r="E279" s="45"/>
      <c r="F279" s="45"/>
      <c r="G279" s="45"/>
      <c r="H279" s="45"/>
      <c r="I279" s="45"/>
    </row>
    <row r="280" spans="5:9" ht="19.5" customHeight="1" x14ac:dyDescent="0.2">
      <c r="E280" s="45"/>
      <c r="F280" s="45"/>
      <c r="G280" s="45"/>
      <c r="H280" s="45"/>
      <c r="I280" s="45"/>
    </row>
    <row r="281" spans="5:9" ht="19.5" customHeight="1" x14ac:dyDescent="0.2">
      <c r="E281" s="45"/>
      <c r="F281" s="45"/>
      <c r="G281" s="45"/>
      <c r="H281" s="45"/>
      <c r="I281" s="45"/>
    </row>
    <row r="282" spans="5:9" ht="19.5" customHeight="1" x14ac:dyDescent="0.2">
      <c r="E282" s="45"/>
      <c r="F282" s="45"/>
      <c r="G282" s="45"/>
      <c r="H282" s="45"/>
      <c r="I282" s="45"/>
    </row>
    <row r="283" spans="5:9" ht="15.75" customHeight="1" x14ac:dyDescent="0.2">
      <c r="E283" s="45"/>
      <c r="F283" s="45"/>
      <c r="G283" s="45"/>
      <c r="H283" s="45"/>
      <c r="I283" s="45"/>
    </row>
    <row r="284" spans="5:9" ht="15.75" customHeight="1" x14ac:dyDescent="0.2">
      <c r="E284" s="45"/>
      <c r="F284" s="45"/>
      <c r="G284" s="45"/>
      <c r="H284" s="45"/>
      <c r="I284" s="45"/>
    </row>
    <row r="285" spans="5:9" ht="15.75" customHeight="1" x14ac:dyDescent="0.2">
      <c r="E285" s="45"/>
      <c r="F285" s="45"/>
      <c r="G285" s="45"/>
      <c r="H285" s="45"/>
      <c r="I285" s="45"/>
    </row>
    <row r="286" spans="5:9" ht="15.75" customHeight="1" x14ac:dyDescent="0.2">
      <c r="E286" s="45"/>
      <c r="F286" s="45"/>
      <c r="G286" s="45"/>
      <c r="H286" s="45"/>
      <c r="I286" s="45"/>
    </row>
    <row r="287" spans="5:9" ht="15.75" customHeight="1" x14ac:dyDescent="0.2">
      <c r="E287" s="45"/>
      <c r="F287" s="45"/>
      <c r="G287" s="45"/>
      <c r="H287" s="45"/>
      <c r="I287" s="45"/>
    </row>
    <row r="288" spans="5:9" ht="15.75" customHeight="1" x14ac:dyDescent="0.2">
      <c r="E288" s="45"/>
      <c r="F288" s="45"/>
      <c r="G288" s="45"/>
      <c r="H288" s="45"/>
      <c r="I288" s="45"/>
    </row>
    <row r="289" spans="5:9" ht="15.75" customHeight="1" x14ac:dyDescent="0.2">
      <c r="E289" s="45"/>
      <c r="F289" s="45"/>
      <c r="G289" s="45"/>
      <c r="H289" s="45"/>
      <c r="I289" s="45"/>
    </row>
    <row r="290" spans="5:9" ht="15.75" customHeight="1" x14ac:dyDescent="0.2">
      <c r="E290" s="45"/>
      <c r="F290" s="45"/>
      <c r="G290" s="45"/>
      <c r="H290" s="45"/>
      <c r="I290" s="45"/>
    </row>
    <row r="291" spans="5:9" ht="15.75" customHeight="1" x14ac:dyDescent="0.2">
      <c r="E291" s="45"/>
      <c r="F291" s="45"/>
      <c r="G291" s="45"/>
      <c r="H291" s="45"/>
      <c r="I291" s="45"/>
    </row>
    <row r="292" spans="5:9" ht="15.75" customHeight="1" x14ac:dyDescent="0.2">
      <c r="E292" s="45"/>
      <c r="F292" s="45"/>
      <c r="G292" s="45"/>
      <c r="H292" s="45"/>
      <c r="I292" s="45"/>
    </row>
    <row r="293" spans="5:9" ht="15.75" customHeight="1" x14ac:dyDescent="0.2">
      <c r="E293" s="45"/>
      <c r="F293" s="45"/>
      <c r="G293" s="45"/>
      <c r="H293" s="45"/>
      <c r="I293" s="45"/>
    </row>
    <row r="294" spans="5:9" ht="15.75" customHeight="1" x14ac:dyDescent="0.2">
      <c r="E294" s="45"/>
      <c r="F294" s="45"/>
      <c r="G294" s="45"/>
      <c r="H294" s="45"/>
      <c r="I294" s="45"/>
    </row>
    <row r="295" spans="5:9" ht="15.75" customHeight="1" x14ac:dyDescent="0.2">
      <c r="E295" s="45"/>
      <c r="F295" s="45"/>
      <c r="G295" s="45"/>
      <c r="H295" s="45"/>
      <c r="I295" s="45"/>
    </row>
    <row r="296" spans="5:9" ht="15.75" customHeight="1" x14ac:dyDescent="0.2">
      <c r="E296" s="45"/>
      <c r="F296" s="45"/>
      <c r="G296" s="45"/>
      <c r="H296" s="45"/>
      <c r="I296" s="45"/>
    </row>
    <row r="297" spans="5:9" ht="15.75" customHeight="1" x14ac:dyDescent="0.2">
      <c r="E297" s="45"/>
      <c r="F297" s="45"/>
      <c r="G297" s="45"/>
      <c r="H297" s="45"/>
      <c r="I297" s="45"/>
    </row>
    <row r="298" spans="5:9" ht="15.75" customHeight="1" x14ac:dyDescent="0.2">
      <c r="E298" s="45"/>
      <c r="F298" s="45"/>
      <c r="G298" s="45"/>
      <c r="H298" s="45"/>
      <c r="I298" s="45"/>
    </row>
    <row r="299" spans="5:9" ht="15.75" customHeight="1" x14ac:dyDescent="0.2">
      <c r="E299" s="45"/>
      <c r="F299" s="45"/>
      <c r="G299" s="45"/>
      <c r="H299" s="45"/>
      <c r="I299" s="45"/>
    </row>
    <row r="300" spans="5:9" ht="15.75" customHeight="1" x14ac:dyDescent="0.2">
      <c r="E300" s="45"/>
      <c r="F300" s="45"/>
      <c r="G300" s="45"/>
      <c r="H300" s="45"/>
      <c r="I300" s="45"/>
    </row>
    <row r="301" spans="5:9" ht="15.75" customHeight="1" x14ac:dyDescent="0.2">
      <c r="E301" s="45"/>
      <c r="F301" s="45"/>
      <c r="G301" s="45"/>
      <c r="H301" s="45"/>
      <c r="I301" s="45"/>
    </row>
    <row r="302" spans="5:9" ht="15.75" customHeight="1" x14ac:dyDescent="0.2">
      <c r="E302" s="45"/>
      <c r="F302" s="45"/>
      <c r="G302" s="45"/>
      <c r="H302" s="45"/>
      <c r="I302" s="45"/>
    </row>
    <row r="303" spans="5:9" ht="15.75" customHeight="1" x14ac:dyDescent="0.2">
      <c r="E303" s="45"/>
      <c r="F303" s="45"/>
      <c r="G303" s="45"/>
      <c r="H303" s="45"/>
      <c r="I303" s="45"/>
    </row>
    <row r="304" spans="5:9" ht="15.75" customHeight="1" x14ac:dyDescent="0.2">
      <c r="E304" s="45"/>
      <c r="F304" s="45"/>
      <c r="G304" s="45"/>
      <c r="H304" s="45"/>
      <c r="I304" s="45"/>
    </row>
    <row r="305" spans="5:9" ht="15.75" customHeight="1" x14ac:dyDescent="0.2">
      <c r="E305" s="45"/>
      <c r="F305" s="45"/>
      <c r="G305" s="45"/>
      <c r="H305" s="45"/>
      <c r="I305" s="45"/>
    </row>
    <row r="306" spans="5:9" ht="15.75" customHeight="1" x14ac:dyDescent="0.2">
      <c r="E306" s="45"/>
      <c r="F306" s="45"/>
      <c r="G306" s="45"/>
      <c r="H306" s="45"/>
      <c r="I306" s="45"/>
    </row>
    <row r="307" spans="5:9" ht="15.75" customHeight="1" x14ac:dyDescent="0.2">
      <c r="E307" s="45"/>
      <c r="F307" s="45"/>
      <c r="G307" s="45"/>
      <c r="H307" s="45"/>
      <c r="I307" s="45"/>
    </row>
    <row r="308" spans="5:9" ht="15.75" customHeight="1" x14ac:dyDescent="0.2">
      <c r="E308" s="45"/>
      <c r="F308" s="45"/>
      <c r="G308" s="45"/>
      <c r="H308" s="45"/>
      <c r="I308" s="45"/>
    </row>
    <row r="309" spans="5:9" ht="15.75" customHeight="1" x14ac:dyDescent="0.2">
      <c r="E309" s="45"/>
      <c r="F309" s="45"/>
      <c r="G309" s="45"/>
      <c r="H309" s="45"/>
      <c r="I309" s="45"/>
    </row>
    <row r="310" spans="5:9" ht="15.75" customHeight="1" x14ac:dyDescent="0.2">
      <c r="E310" s="45"/>
      <c r="F310" s="45"/>
      <c r="G310" s="45"/>
      <c r="H310" s="45"/>
      <c r="I310" s="45"/>
    </row>
    <row r="311" spans="5:9" ht="15.75" customHeight="1" x14ac:dyDescent="0.2">
      <c r="E311" s="45"/>
      <c r="F311" s="45"/>
      <c r="G311" s="45"/>
      <c r="H311" s="45"/>
      <c r="I311" s="45"/>
    </row>
    <row r="312" spans="5:9" ht="15.75" customHeight="1" x14ac:dyDescent="0.2">
      <c r="E312" s="45"/>
      <c r="F312" s="45"/>
      <c r="G312" s="45"/>
      <c r="H312" s="45"/>
      <c r="I312" s="45"/>
    </row>
    <row r="313" spans="5:9" ht="15.75" customHeight="1" x14ac:dyDescent="0.2">
      <c r="E313" s="45"/>
      <c r="F313" s="45"/>
      <c r="G313" s="45"/>
      <c r="H313" s="45"/>
      <c r="I313" s="45"/>
    </row>
    <row r="314" spans="5:9" ht="15.75" customHeight="1" x14ac:dyDescent="0.2">
      <c r="E314" s="45"/>
      <c r="F314" s="45"/>
      <c r="G314" s="45"/>
      <c r="H314" s="45"/>
      <c r="I314" s="45"/>
    </row>
    <row r="315" spans="5:9" ht="15.75" customHeight="1" x14ac:dyDescent="0.2">
      <c r="E315" s="45"/>
      <c r="F315" s="45"/>
      <c r="G315" s="45"/>
      <c r="H315" s="45"/>
      <c r="I315" s="45"/>
    </row>
    <row r="316" spans="5:9" ht="15.75" customHeight="1" x14ac:dyDescent="0.2">
      <c r="E316" s="45"/>
      <c r="F316" s="45"/>
      <c r="G316" s="45"/>
      <c r="H316" s="45"/>
      <c r="I316" s="45"/>
    </row>
    <row r="317" spans="5:9" ht="15.75" customHeight="1" x14ac:dyDescent="0.2">
      <c r="E317" s="45"/>
      <c r="F317" s="45"/>
      <c r="G317" s="45"/>
      <c r="H317" s="45"/>
      <c r="I317" s="45"/>
    </row>
    <row r="318" spans="5:9" ht="15.75" customHeight="1" x14ac:dyDescent="0.2">
      <c r="E318" s="45"/>
      <c r="F318" s="45"/>
      <c r="G318" s="45"/>
      <c r="H318" s="45"/>
      <c r="I318" s="45"/>
    </row>
    <row r="319" spans="5:9" ht="15.75" customHeight="1" x14ac:dyDescent="0.2">
      <c r="E319" s="45"/>
      <c r="F319" s="45"/>
      <c r="G319" s="45"/>
      <c r="H319" s="45"/>
      <c r="I319" s="45"/>
    </row>
    <row r="320" spans="5:9" ht="15.75" customHeight="1" x14ac:dyDescent="0.2">
      <c r="E320" s="45"/>
      <c r="F320" s="45"/>
      <c r="G320" s="45"/>
      <c r="H320" s="45"/>
      <c r="I320" s="45"/>
    </row>
    <row r="321" spans="5:9" ht="15.75" customHeight="1" x14ac:dyDescent="0.2">
      <c r="E321" s="45"/>
      <c r="F321" s="45"/>
      <c r="G321" s="45"/>
      <c r="H321" s="45"/>
      <c r="I321" s="45"/>
    </row>
    <row r="322" spans="5:9" ht="15.75" customHeight="1" x14ac:dyDescent="0.2">
      <c r="E322" s="45"/>
      <c r="F322" s="45"/>
      <c r="G322" s="45"/>
      <c r="H322" s="45"/>
      <c r="I322" s="45"/>
    </row>
    <row r="323" spans="5:9" ht="15.75" customHeight="1" x14ac:dyDescent="0.2">
      <c r="E323" s="45"/>
      <c r="F323" s="45"/>
      <c r="G323" s="45"/>
      <c r="H323" s="45"/>
      <c r="I323" s="45"/>
    </row>
    <row r="324" spans="5:9" ht="15.75" customHeight="1" x14ac:dyDescent="0.2">
      <c r="E324" s="45"/>
      <c r="F324" s="45"/>
      <c r="G324" s="45"/>
      <c r="H324" s="45"/>
      <c r="I324" s="45"/>
    </row>
    <row r="325" spans="5:9" ht="15.75" customHeight="1" x14ac:dyDescent="0.2">
      <c r="E325" s="45"/>
      <c r="F325" s="45"/>
      <c r="G325" s="45"/>
      <c r="H325" s="45"/>
      <c r="I325" s="45"/>
    </row>
    <row r="326" spans="5:9" ht="15.75" customHeight="1" x14ac:dyDescent="0.2">
      <c r="E326" s="45"/>
      <c r="F326" s="45"/>
      <c r="G326" s="45"/>
      <c r="H326" s="45"/>
      <c r="I326" s="45"/>
    </row>
    <row r="327" spans="5:9" ht="15.75" customHeight="1" x14ac:dyDescent="0.2">
      <c r="E327" s="45"/>
      <c r="F327" s="45"/>
      <c r="G327" s="45"/>
      <c r="H327" s="45"/>
      <c r="I327" s="45"/>
    </row>
    <row r="328" spans="5:9" ht="15.75" customHeight="1" x14ac:dyDescent="0.2">
      <c r="E328" s="45"/>
      <c r="F328" s="45"/>
      <c r="G328" s="45"/>
      <c r="H328" s="45"/>
      <c r="I328" s="45"/>
    </row>
    <row r="329" spans="5:9" ht="15.75" customHeight="1" x14ac:dyDescent="0.2">
      <c r="E329" s="45"/>
      <c r="F329" s="45"/>
      <c r="G329" s="45"/>
      <c r="H329" s="45"/>
      <c r="I329" s="45"/>
    </row>
    <row r="330" spans="5:9" ht="15.75" customHeight="1" x14ac:dyDescent="0.2">
      <c r="E330" s="45"/>
      <c r="F330" s="45"/>
      <c r="G330" s="45"/>
      <c r="H330" s="45"/>
      <c r="I330" s="45"/>
    </row>
    <row r="331" spans="5:9" ht="15.75" customHeight="1" x14ac:dyDescent="0.2">
      <c r="E331" s="45"/>
      <c r="F331" s="45"/>
      <c r="G331" s="45"/>
      <c r="H331" s="45"/>
      <c r="I331" s="45"/>
    </row>
    <row r="332" spans="5:9" ht="15.75" customHeight="1" x14ac:dyDescent="0.2">
      <c r="E332" s="45"/>
      <c r="F332" s="45"/>
      <c r="G332" s="45"/>
      <c r="H332" s="45"/>
      <c r="I332" s="45"/>
    </row>
    <row r="333" spans="5:9" ht="15.75" customHeight="1" x14ac:dyDescent="0.2">
      <c r="E333" s="45"/>
      <c r="F333" s="45"/>
      <c r="G333" s="45"/>
      <c r="H333" s="45"/>
      <c r="I333" s="45"/>
    </row>
    <row r="334" spans="5:9" ht="15.75" customHeight="1" x14ac:dyDescent="0.2">
      <c r="E334" s="45"/>
      <c r="F334" s="45"/>
      <c r="G334" s="45"/>
      <c r="H334" s="45"/>
      <c r="I334" s="45"/>
    </row>
    <row r="335" spans="5:9" ht="15.75" customHeight="1" x14ac:dyDescent="0.2">
      <c r="E335" s="45"/>
      <c r="F335" s="45"/>
      <c r="G335" s="45"/>
      <c r="H335" s="45"/>
      <c r="I335" s="45"/>
    </row>
    <row r="336" spans="5:9" ht="15.75" customHeight="1" x14ac:dyDescent="0.2">
      <c r="E336" s="45"/>
      <c r="F336" s="45"/>
      <c r="G336" s="45"/>
      <c r="H336" s="45"/>
      <c r="I336" s="45"/>
    </row>
    <row r="337" spans="5:9" ht="15.75" customHeight="1" x14ac:dyDescent="0.2">
      <c r="E337" s="45"/>
      <c r="F337" s="45"/>
      <c r="G337" s="45"/>
      <c r="H337" s="45"/>
      <c r="I337" s="45"/>
    </row>
    <row r="338" spans="5:9" ht="15.75" customHeight="1" x14ac:dyDescent="0.2">
      <c r="E338" s="45"/>
      <c r="F338" s="45"/>
      <c r="G338" s="45"/>
      <c r="H338" s="45"/>
      <c r="I338" s="45"/>
    </row>
    <row r="339" spans="5:9" ht="15.75" customHeight="1" x14ac:dyDescent="0.2">
      <c r="E339" s="45"/>
      <c r="F339" s="45"/>
      <c r="G339" s="45"/>
      <c r="H339" s="45"/>
      <c r="I339" s="45"/>
    </row>
    <row r="340" spans="5:9" ht="15.75" customHeight="1" x14ac:dyDescent="0.2">
      <c r="E340" s="45"/>
      <c r="F340" s="45"/>
      <c r="G340" s="45"/>
      <c r="H340" s="45"/>
      <c r="I340" s="45"/>
    </row>
    <row r="341" spans="5:9" ht="15.75" customHeight="1" x14ac:dyDescent="0.2">
      <c r="E341" s="45"/>
      <c r="F341" s="45"/>
      <c r="G341" s="45"/>
      <c r="H341" s="45"/>
      <c r="I341" s="45"/>
    </row>
    <row r="342" spans="5:9" ht="15.75" customHeight="1" x14ac:dyDescent="0.2">
      <c r="E342" s="45"/>
      <c r="F342" s="45"/>
      <c r="G342" s="45"/>
      <c r="H342" s="45"/>
      <c r="I342" s="45"/>
    </row>
    <row r="343" spans="5:9" ht="15.75" customHeight="1" x14ac:dyDescent="0.2">
      <c r="E343" s="45"/>
      <c r="F343" s="45"/>
      <c r="G343" s="45"/>
      <c r="H343" s="45"/>
      <c r="I343" s="45"/>
    </row>
    <row r="344" spans="5:9" ht="15.75" customHeight="1" x14ac:dyDescent="0.2">
      <c r="E344" s="45"/>
      <c r="F344" s="45"/>
      <c r="G344" s="45"/>
      <c r="H344" s="45"/>
      <c r="I344" s="45"/>
    </row>
    <row r="345" spans="5:9" ht="15.75" customHeight="1" x14ac:dyDescent="0.2">
      <c r="E345" s="45"/>
      <c r="F345" s="45"/>
      <c r="G345" s="45"/>
      <c r="H345" s="45"/>
      <c r="I345" s="45"/>
    </row>
    <row r="346" spans="5:9" ht="15.75" customHeight="1" x14ac:dyDescent="0.2">
      <c r="E346" s="45"/>
      <c r="F346" s="45"/>
      <c r="G346" s="45"/>
      <c r="H346" s="45"/>
      <c r="I346" s="45"/>
    </row>
    <row r="347" spans="5:9" ht="15.75" customHeight="1" x14ac:dyDescent="0.2">
      <c r="E347" s="45"/>
      <c r="F347" s="45"/>
      <c r="G347" s="45"/>
      <c r="H347" s="45"/>
      <c r="I347" s="45"/>
    </row>
    <row r="348" spans="5:9" ht="15.75" customHeight="1" x14ac:dyDescent="0.2">
      <c r="E348" s="45"/>
      <c r="F348" s="45"/>
      <c r="G348" s="45"/>
      <c r="H348" s="45"/>
      <c r="I348" s="45"/>
    </row>
    <row r="349" spans="5:9" ht="15.75" customHeight="1" x14ac:dyDescent="0.2">
      <c r="E349" s="45"/>
      <c r="F349" s="45"/>
      <c r="G349" s="45"/>
      <c r="H349" s="45"/>
      <c r="I349" s="45"/>
    </row>
    <row r="350" spans="5:9" ht="15.75" customHeight="1" x14ac:dyDescent="0.2">
      <c r="E350" s="45"/>
      <c r="F350" s="45"/>
      <c r="G350" s="45"/>
      <c r="H350" s="45"/>
      <c r="I350" s="45"/>
    </row>
    <row r="351" spans="5:9" ht="15.75" customHeight="1" x14ac:dyDescent="0.2">
      <c r="E351" s="45"/>
      <c r="F351" s="45"/>
      <c r="G351" s="45"/>
      <c r="H351" s="45"/>
      <c r="I351" s="45"/>
    </row>
    <row r="352" spans="5:9" ht="15.75" customHeight="1" x14ac:dyDescent="0.2">
      <c r="E352" s="45"/>
      <c r="F352" s="45"/>
      <c r="G352" s="45"/>
      <c r="H352" s="45"/>
      <c r="I352" s="45"/>
    </row>
    <row r="353" spans="5:9" ht="15.75" customHeight="1" x14ac:dyDescent="0.2">
      <c r="E353" s="45"/>
      <c r="F353" s="45"/>
      <c r="G353" s="45"/>
      <c r="H353" s="45"/>
      <c r="I353" s="45"/>
    </row>
    <row r="354" spans="5:9" ht="15.75" customHeight="1" x14ac:dyDescent="0.2">
      <c r="E354" s="45"/>
      <c r="F354" s="45"/>
      <c r="G354" s="45"/>
      <c r="H354" s="45"/>
      <c r="I354" s="45"/>
    </row>
    <row r="355" spans="5:9" ht="15.75" customHeight="1" x14ac:dyDescent="0.2">
      <c r="E355" s="45"/>
      <c r="F355" s="45"/>
      <c r="G355" s="45"/>
      <c r="H355" s="45"/>
      <c r="I355" s="45"/>
    </row>
    <row r="356" spans="5:9" ht="15.75" customHeight="1" x14ac:dyDescent="0.2">
      <c r="E356" s="45"/>
      <c r="F356" s="45"/>
      <c r="G356" s="45"/>
      <c r="H356" s="45"/>
      <c r="I356" s="45"/>
    </row>
    <row r="357" spans="5:9" ht="15.75" customHeight="1" x14ac:dyDescent="0.2">
      <c r="E357" s="45"/>
      <c r="F357" s="45"/>
      <c r="G357" s="45"/>
      <c r="H357" s="45"/>
      <c r="I357" s="45"/>
    </row>
    <row r="358" spans="5:9" ht="15.75" customHeight="1" x14ac:dyDescent="0.2">
      <c r="E358" s="45"/>
      <c r="F358" s="45"/>
      <c r="G358" s="45"/>
      <c r="H358" s="45"/>
      <c r="I358" s="45"/>
    </row>
    <row r="359" spans="5:9" ht="15.75" customHeight="1" x14ac:dyDescent="0.2">
      <c r="E359" s="45"/>
      <c r="F359" s="45"/>
      <c r="G359" s="45"/>
      <c r="H359" s="45"/>
      <c r="I359" s="45"/>
    </row>
    <row r="360" spans="5:9" ht="15.75" customHeight="1" x14ac:dyDescent="0.2">
      <c r="E360" s="45"/>
      <c r="F360" s="45"/>
      <c r="G360" s="45"/>
      <c r="H360" s="45"/>
      <c r="I360" s="45"/>
    </row>
    <row r="361" spans="5:9" ht="15.75" customHeight="1" x14ac:dyDescent="0.2">
      <c r="E361" s="45"/>
      <c r="F361" s="45"/>
      <c r="G361" s="45"/>
      <c r="H361" s="45"/>
      <c r="I361" s="45"/>
    </row>
    <row r="362" spans="5:9" ht="15.75" customHeight="1" x14ac:dyDescent="0.2">
      <c r="E362" s="45"/>
      <c r="F362" s="45"/>
      <c r="G362" s="45"/>
      <c r="H362" s="45"/>
      <c r="I362" s="45"/>
    </row>
    <row r="363" spans="5:9" ht="15.75" customHeight="1" x14ac:dyDescent="0.2">
      <c r="E363" s="45"/>
      <c r="F363" s="45"/>
      <c r="G363" s="45"/>
      <c r="H363" s="45"/>
      <c r="I363" s="45"/>
    </row>
    <row r="364" spans="5:9" ht="15.75" customHeight="1" x14ac:dyDescent="0.2">
      <c r="E364" s="45"/>
      <c r="F364" s="45"/>
      <c r="G364" s="45"/>
      <c r="H364" s="45"/>
      <c r="I364" s="45"/>
    </row>
    <row r="365" spans="5:9" ht="15.75" customHeight="1" x14ac:dyDescent="0.2">
      <c r="E365" s="45"/>
      <c r="F365" s="45"/>
      <c r="G365" s="45"/>
      <c r="H365" s="45"/>
      <c r="I365" s="45"/>
    </row>
    <row r="366" spans="5:9" ht="15.75" customHeight="1" x14ac:dyDescent="0.2">
      <c r="E366" s="45"/>
      <c r="F366" s="45"/>
      <c r="G366" s="45"/>
      <c r="H366" s="45"/>
      <c r="I366" s="45"/>
    </row>
    <row r="367" spans="5:9" ht="15.75" customHeight="1" x14ac:dyDescent="0.2">
      <c r="E367" s="45"/>
      <c r="F367" s="45"/>
      <c r="G367" s="45"/>
      <c r="H367" s="45"/>
      <c r="I367" s="45"/>
    </row>
    <row r="368" spans="5:9" ht="15.75" customHeight="1" x14ac:dyDescent="0.2">
      <c r="E368" s="45"/>
      <c r="F368" s="45"/>
      <c r="G368" s="45"/>
      <c r="H368" s="45"/>
      <c r="I368" s="45"/>
    </row>
    <row r="369" spans="5:9" ht="15.75" customHeight="1" x14ac:dyDescent="0.2">
      <c r="E369" s="45"/>
      <c r="F369" s="45"/>
      <c r="G369" s="45"/>
      <c r="H369" s="45"/>
      <c r="I369" s="45"/>
    </row>
    <row r="370" spans="5:9" ht="15.75" customHeight="1" x14ac:dyDescent="0.2">
      <c r="E370" s="45"/>
      <c r="F370" s="45"/>
      <c r="G370" s="45"/>
      <c r="H370" s="45"/>
      <c r="I370" s="45"/>
    </row>
    <row r="371" spans="5:9" ht="15.75" customHeight="1" x14ac:dyDescent="0.2">
      <c r="E371" s="45"/>
      <c r="F371" s="45"/>
      <c r="G371" s="45"/>
      <c r="H371" s="45"/>
      <c r="I371" s="45"/>
    </row>
    <row r="372" spans="5:9" ht="15.75" customHeight="1" x14ac:dyDescent="0.2">
      <c r="E372" s="45"/>
      <c r="F372" s="45"/>
      <c r="G372" s="45"/>
      <c r="H372" s="45"/>
      <c r="I372" s="45"/>
    </row>
    <row r="373" spans="5:9" ht="15.75" customHeight="1" x14ac:dyDescent="0.2">
      <c r="E373" s="45"/>
      <c r="F373" s="45"/>
      <c r="G373" s="45"/>
      <c r="H373" s="45"/>
      <c r="I373" s="45"/>
    </row>
    <row r="374" spans="5:9" ht="15.75" customHeight="1" x14ac:dyDescent="0.2">
      <c r="E374" s="45"/>
      <c r="F374" s="45"/>
      <c r="G374" s="45"/>
      <c r="H374" s="45"/>
      <c r="I374" s="45"/>
    </row>
    <row r="375" spans="5:9" ht="15.75" customHeight="1" x14ac:dyDescent="0.2">
      <c r="E375" s="45"/>
      <c r="F375" s="45"/>
      <c r="G375" s="45"/>
      <c r="H375" s="45"/>
      <c r="I375" s="45"/>
    </row>
    <row r="376" spans="5:9" ht="15.75" customHeight="1" x14ac:dyDescent="0.2">
      <c r="E376" s="45"/>
      <c r="F376" s="45"/>
      <c r="G376" s="45"/>
      <c r="H376" s="45"/>
      <c r="I376" s="45"/>
    </row>
    <row r="377" spans="5:9" ht="15.75" customHeight="1" x14ac:dyDescent="0.2">
      <c r="E377" s="45"/>
      <c r="F377" s="45"/>
      <c r="G377" s="45"/>
      <c r="H377" s="45"/>
      <c r="I377" s="45"/>
    </row>
    <row r="378" spans="5:9" ht="15.75" customHeight="1" x14ac:dyDescent="0.2">
      <c r="E378" s="45"/>
      <c r="F378" s="45"/>
      <c r="G378" s="45"/>
      <c r="H378" s="45"/>
      <c r="I378" s="45"/>
    </row>
    <row r="379" spans="5:9" ht="15.75" customHeight="1" x14ac:dyDescent="0.2">
      <c r="E379" s="45"/>
      <c r="F379" s="45"/>
      <c r="G379" s="45"/>
      <c r="H379" s="45"/>
      <c r="I379" s="45"/>
    </row>
    <row r="380" spans="5:9" ht="15.75" customHeight="1" x14ac:dyDescent="0.2">
      <c r="E380" s="45"/>
      <c r="F380" s="45"/>
      <c r="G380" s="45"/>
      <c r="H380" s="45"/>
      <c r="I380" s="45"/>
    </row>
    <row r="381" spans="5:9" ht="15.75" customHeight="1" x14ac:dyDescent="0.2">
      <c r="E381" s="45"/>
      <c r="F381" s="45"/>
      <c r="G381" s="45"/>
      <c r="H381" s="45"/>
      <c r="I381" s="45"/>
    </row>
    <row r="382" spans="5:9" ht="15.75" customHeight="1" x14ac:dyDescent="0.2">
      <c r="E382" s="45"/>
      <c r="F382" s="45"/>
      <c r="G382" s="45"/>
      <c r="H382" s="45"/>
      <c r="I382" s="45"/>
    </row>
    <row r="383" spans="5:9" ht="15.75" customHeight="1" x14ac:dyDescent="0.2">
      <c r="E383" s="45"/>
      <c r="F383" s="45"/>
      <c r="G383" s="45"/>
      <c r="H383" s="45"/>
      <c r="I383" s="45"/>
    </row>
    <row r="384" spans="5:9" ht="15.75" customHeight="1" x14ac:dyDescent="0.2">
      <c r="E384" s="45"/>
      <c r="F384" s="45"/>
      <c r="G384" s="45"/>
      <c r="H384" s="45"/>
      <c r="I384" s="45"/>
    </row>
    <row r="385" spans="5:9" ht="15.75" customHeight="1" x14ac:dyDescent="0.2">
      <c r="E385" s="45"/>
      <c r="F385" s="45"/>
      <c r="G385" s="45"/>
      <c r="H385" s="45"/>
      <c r="I385" s="45"/>
    </row>
    <row r="386" spans="5:9" ht="15.75" customHeight="1" x14ac:dyDescent="0.2">
      <c r="E386" s="45"/>
      <c r="F386" s="45"/>
      <c r="G386" s="45"/>
      <c r="H386" s="45"/>
      <c r="I386" s="45"/>
    </row>
    <row r="387" spans="5:9" ht="15.75" customHeight="1" x14ac:dyDescent="0.2">
      <c r="E387" s="45"/>
      <c r="F387" s="45"/>
      <c r="G387" s="45"/>
      <c r="H387" s="45"/>
      <c r="I387" s="45"/>
    </row>
    <row r="388" spans="5:9" ht="15.75" customHeight="1" x14ac:dyDescent="0.2">
      <c r="E388" s="45"/>
      <c r="F388" s="45"/>
      <c r="G388" s="45"/>
      <c r="H388" s="45"/>
      <c r="I388" s="45"/>
    </row>
    <row r="389" spans="5:9" ht="15.75" customHeight="1" x14ac:dyDescent="0.2">
      <c r="E389" s="45"/>
      <c r="F389" s="45"/>
      <c r="G389" s="45"/>
      <c r="H389" s="45"/>
      <c r="I389" s="45"/>
    </row>
    <row r="390" spans="5:9" ht="15.75" customHeight="1" x14ac:dyDescent="0.2">
      <c r="E390" s="45"/>
      <c r="F390" s="45"/>
      <c r="G390" s="45"/>
      <c r="H390" s="45"/>
      <c r="I390" s="45"/>
    </row>
    <row r="391" spans="5:9" ht="15.75" customHeight="1" x14ac:dyDescent="0.2">
      <c r="E391" s="45"/>
      <c r="F391" s="45"/>
      <c r="G391" s="45"/>
      <c r="H391" s="45"/>
      <c r="I391" s="45"/>
    </row>
    <row r="392" spans="5:9" ht="15.75" customHeight="1" x14ac:dyDescent="0.2">
      <c r="E392" s="45"/>
      <c r="F392" s="45"/>
      <c r="G392" s="45"/>
      <c r="H392" s="45"/>
      <c r="I392" s="45"/>
    </row>
    <row r="393" spans="5:9" ht="15.75" customHeight="1" x14ac:dyDescent="0.2">
      <c r="E393" s="45"/>
      <c r="F393" s="45"/>
      <c r="G393" s="45"/>
      <c r="H393" s="45"/>
      <c r="I393" s="45"/>
    </row>
    <row r="394" spans="5:9" ht="15.75" customHeight="1" x14ac:dyDescent="0.2">
      <c r="E394" s="45"/>
      <c r="F394" s="45"/>
      <c r="G394" s="45"/>
      <c r="H394" s="45"/>
      <c r="I394" s="45"/>
    </row>
    <row r="395" spans="5:9" ht="15.75" customHeight="1" x14ac:dyDescent="0.2">
      <c r="E395" s="45"/>
      <c r="F395" s="45"/>
      <c r="G395" s="45"/>
      <c r="H395" s="45"/>
      <c r="I395" s="45"/>
    </row>
    <row r="396" spans="5:9" ht="15.75" customHeight="1" x14ac:dyDescent="0.2">
      <c r="E396" s="45"/>
      <c r="F396" s="45"/>
      <c r="G396" s="45"/>
      <c r="H396" s="45"/>
      <c r="I396" s="45"/>
    </row>
    <row r="397" spans="5:9" ht="15.75" customHeight="1" x14ac:dyDescent="0.2">
      <c r="E397" s="45"/>
      <c r="F397" s="45"/>
      <c r="G397" s="45"/>
      <c r="H397" s="45"/>
      <c r="I397" s="45"/>
    </row>
    <row r="398" spans="5:9" ht="15.75" customHeight="1" x14ac:dyDescent="0.2">
      <c r="E398" s="45"/>
      <c r="F398" s="45"/>
      <c r="G398" s="45"/>
      <c r="H398" s="45"/>
      <c r="I398" s="45"/>
    </row>
    <row r="399" spans="5:9" ht="15.75" customHeight="1" x14ac:dyDescent="0.2">
      <c r="E399" s="45"/>
      <c r="F399" s="45"/>
      <c r="G399" s="45"/>
      <c r="H399" s="45"/>
      <c r="I399" s="45"/>
    </row>
    <row r="400" spans="5:9" ht="15.75" customHeight="1" x14ac:dyDescent="0.2">
      <c r="E400" s="45"/>
      <c r="F400" s="45"/>
      <c r="G400" s="45"/>
      <c r="H400" s="45"/>
      <c r="I400" s="45"/>
    </row>
    <row r="401" spans="5:9" ht="15.75" customHeight="1" x14ac:dyDescent="0.2">
      <c r="E401" s="45"/>
      <c r="F401" s="45"/>
      <c r="G401" s="45"/>
      <c r="H401" s="45"/>
      <c r="I401" s="45"/>
    </row>
    <row r="402" spans="5:9" ht="15.75" customHeight="1" x14ac:dyDescent="0.2">
      <c r="E402" s="45"/>
      <c r="F402" s="45"/>
      <c r="G402" s="45"/>
      <c r="H402" s="45"/>
      <c r="I402" s="45"/>
    </row>
    <row r="403" spans="5:9" ht="15.75" customHeight="1" x14ac:dyDescent="0.2">
      <c r="E403" s="45"/>
      <c r="F403" s="45"/>
      <c r="G403" s="45"/>
      <c r="H403" s="45"/>
      <c r="I403" s="45"/>
    </row>
    <row r="404" spans="5:9" ht="15.75" customHeight="1" x14ac:dyDescent="0.2">
      <c r="E404" s="45"/>
      <c r="F404" s="45"/>
      <c r="G404" s="45"/>
      <c r="H404" s="45"/>
      <c r="I404" s="45"/>
    </row>
    <row r="405" spans="5:9" ht="15.75" customHeight="1" x14ac:dyDescent="0.2">
      <c r="E405" s="45"/>
      <c r="F405" s="45"/>
      <c r="G405" s="45"/>
      <c r="H405" s="45"/>
      <c r="I405" s="45"/>
    </row>
    <row r="406" spans="5:9" ht="15.75" customHeight="1" x14ac:dyDescent="0.2">
      <c r="E406" s="45"/>
      <c r="F406" s="45"/>
      <c r="G406" s="45"/>
      <c r="H406" s="45"/>
      <c r="I406" s="45"/>
    </row>
    <row r="407" spans="5:9" ht="15.75" customHeight="1" x14ac:dyDescent="0.2">
      <c r="E407" s="45"/>
      <c r="F407" s="45"/>
      <c r="G407" s="45"/>
      <c r="H407" s="45"/>
      <c r="I407" s="45"/>
    </row>
    <row r="408" spans="5:9" ht="15.75" customHeight="1" x14ac:dyDescent="0.2">
      <c r="E408" s="45"/>
      <c r="F408" s="45"/>
      <c r="G408" s="45"/>
      <c r="H408" s="45"/>
      <c r="I408" s="45"/>
    </row>
    <row r="409" spans="5:9" ht="15.75" customHeight="1" x14ac:dyDescent="0.2">
      <c r="E409" s="45"/>
      <c r="F409" s="45"/>
      <c r="G409" s="45"/>
      <c r="H409" s="45"/>
      <c r="I409" s="45"/>
    </row>
    <row r="410" spans="5:9" ht="15.75" customHeight="1" x14ac:dyDescent="0.2">
      <c r="E410" s="45"/>
      <c r="F410" s="45"/>
      <c r="G410" s="45"/>
      <c r="H410" s="45"/>
      <c r="I410" s="45"/>
    </row>
    <row r="411" spans="5:9" ht="15.75" customHeight="1" x14ac:dyDescent="0.2">
      <c r="E411" s="45"/>
      <c r="F411" s="45"/>
      <c r="G411" s="45"/>
      <c r="H411" s="45"/>
      <c r="I411" s="45"/>
    </row>
    <row r="412" spans="5:9" ht="15.75" customHeight="1" x14ac:dyDescent="0.2">
      <c r="E412" s="45"/>
      <c r="F412" s="45"/>
      <c r="G412" s="45"/>
      <c r="H412" s="45"/>
      <c r="I412" s="45"/>
    </row>
    <row r="413" spans="5:9" ht="15.75" customHeight="1" x14ac:dyDescent="0.2">
      <c r="E413" s="45"/>
      <c r="F413" s="45"/>
      <c r="G413" s="45"/>
      <c r="H413" s="45"/>
      <c r="I413" s="45"/>
    </row>
    <row r="414" spans="5:9" ht="15.75" customHeight="1" x14ac:dyDescent="0.2">
      <c r="E414" s="45"/>
      <c r="F414" s="45"/>
      <c r="G414" s="45"/>
      <c r="H414" s="45"/>
      <c r="I414" s="45"/>
    </row>
    <row r="415" spans="5:9" ht="15.75" customHeight="1" x14ac:dyDescent="0.2">
      <c r="E415" s="45"/>
      <c r="F415" s="45"/>
      <c r="G415" s="45"/>
      <c r="H415" s="45"/>
      <c r="I415" s="45"/>
    </row>
    <row r="416" spans="5:9" ht="15.75" customHeight="1" x14ac:dyDescent="0.2">
      <c r="E416" s="45"/>
      <c r="F416" s="45"/>
      <c r="G416" s="45"/>
      <c r="H416" s="45"/>
      <c r="I416" s="45"/>
    </row>
    <row r="417" spans="5:9" ht="15.75" customHeight="1" x14ac:dyDescent="0.2">
      <c r="E417" s="45"/>
      <c r="F417" s="45"/>
      <c r="G417" s="45"/>
      <c r="H417" s="45"/>
      <c r="I417" s="45"/>
    </row>
    <row r="418" spans="5:9" ht="15.75" customHeight="1" x14ac:dyDescent="0.2">
      <c r="E418" s="45"/>
      <c r="F418" s="45"/>
      <c r="G418" s="45"/>
      <c r="H418" s="45"/>
      <c r="I418" s="45"/>
    </row>
    <row r="419" spans="5:9" ht="15.75" customHeight="1" x14ac:dyDescent="0.2">
      <c r="E419" s="45"/>
      <c r="F419" s="45"/>
      <c r="G419" s="45"/>
      <c r="H419" s="45"/>
      <c r="I419" s="45"/>
    </row>
    <row r="420" spans="5:9" ht="15.75" customHeight="1" x14ac:dyDescent="0.2">
      <c r="E420" s="45"/>
      <c r="F420" s="45"/>
      <c r="G420" s="45"/>
      <c r="H420" s="45"/>
      <c r="I420" s="45"/>
    </row>
    <row r="421" spans="5:9" ht="15.75" customHeight="1" x14ac:dyDescent="0.2">
      <c r="E421" s="45"/>
      <c r="F421" s="45"/>
      <c r="G421" s="45"/>
      <c r="H421" s="45"/>
      <c r="I421" s="45"/>
    </row>
    <row r="422" spans="5:9" ht="15.75" customHeight="1" x14ac:dyDescent="0.2">
      <c r="E422" s="45"/>
      <c r="F422" s="45"/>
      <c r="G422" s="45"/>
      <c r="H422" s="45"/>
      <c r="I422" s="45"/>
    </row>
    <row r="423" spans="5:9" ht="15.75" customHeight="1" x14ac:dyDescent="0.2">
      <c r="E423" s="45"/>
      <c r="F423" s="45"/>
      <c r="G423" s="45"/>
      <c r="H423" s="45"/>
      <c r="I423" s="45"/>
    </row>
    <row r="424" spans="5:9" ht="15.75" customHeight="1" x14ac:dyDescent="0.2">
      <c r="E424" s="45"/>
      <c r="F424" s="45"/>
      <c r="G424" s="45"/>
      <c r="H424" s="45"/>
      <c r="I424" s="45"/>
    </row>
    <row r="425" spans="5:9" ht="15.75" customHeight="1" x14ac:dyDescent="0.2">
      <c r="E425" s="45"/>
      <c r="F425" s="45"/>
      <c r="G425" s="45"/>
      <c r="H425" s="45"/>
      <c r="I425" s="45"/>
    </row>
    <row r="426" spans="5:9" ht="15.75" customHeight="1" x14ac:dyDescent="0.2">
      <c r="E426" s="45"/>
      <c r="F426" s="45"/>
      <c r="G426" s="45"/>
      <c r="H426" s="45"/>
      <c r="I426" s="45"/>
    </row>
    <row r="427" spans="5:9" ht="15.75" customHeight="1" x14ac:dyDescent="0.2">
      <c r="E427" s="45"/>
      <c r="F427" s="45"/>
      <c r="G427" s="45"/>
      <c r="H427" s="45"/>
      <c r="I427" s="45"/>
    </row>
    <row r="428" spans="5:9" ht="15.75" customHeight="1" x14ac:dyDescent="0.2">
      <c r="E428" s="45"/>
      <c r="F428" s="45"/>
      <c r="G428" s="45"/>
      <c r="H428" s="45"/>
      <c r="I428" s="45"/>
    </row>
    <row r="429" spans="5:9" ht="15.75" customHeight="1" x14ac:dyDescent="0.2">
      <c r="E429" s="45"/>
      <c r="F429" s="45"/>
      <c r="G429" s="45"/>
      <c r="H429" s="45"/>
      <c r="I429" s="45"/>
    </row>
    <row r="430" spans="5:9" ht="15.75" customHeight="1" x14ac:dyDescent="0.2">
      <c r="E430" s="45"/>
      <c r="F430" s="45"/>
      <c r="G430" s="45"/>
      <c r="H430" s="45"/>
      <c r="I430" s="45"/>
    </row>
    <row r="431" spans="5:9" ht="15.75" customHeight="1" x14ac:dyDescent="0.2">
      <c r="E431" s="45"/>
      <c r="F431" s="45"/>
      <c r="G431" s="45"/>
      <c r="H431" s="45"/>
      <c r="I431" s="45"/>
    </row>
    <row r="432" spans="5:9" ht="15.75" customHeight="1" x14ac:dyDescent="0.2">
      <c r="E432" s="45"/>
      <c r="F432" s="45"/>
      <c r="G432" s="45"/>
      <c r="H432" s="45"/>
      <c r="I432" s="45"/>
    </row>
    <row r="433" spans="5:9" ht="15.75" customHeight="1" x14ac:dyDescent="0.2">
      <c r="E433" s="45"/>
      <c r="F433" s="45"/>
      <c r="G433" s="45"/>
      <c r="H433" s="45"/>
      <c r="I433" s="45"/>
    </row>
    <row r="434" spans="5:9" ht="15.75" customHeight="1" x14ac:dyDescent="0.2">
      <c r="E434" s="45"/>
      <c r="F434" s="45"/>
      <c r="G434" s="45"/>
      <c r="H434" s="45"/>
      <c r="I434" s="45"/>
    </row>
    <row r="435" spans="5:9" ht="15.75" customHeight="1" x14ac:dyDescent="0.2">
      <c r="E435" s="45"/>
      <c r="F435" s="45"/>
      <c r="G435" s="45"/>
      <c r="H435" s="45"/>
      <c r="I435" s="45"/>
    </row>
    <row r="436" spans="5:9" ht="15.75" customHeight="1" x14ac:dyDescent="0.2">
      <c r="E436" s="45"/>
      <c r="F436" s="45"/>
      <c r="G436" s="45"/>
      <c r="H436" s="45"/>
      <c r="I436" s="45"/>
    </row>
    <row r="437" spans="5:9" ht="15.75" customHeight="1" x14ac:dyDescent="0.2">
      <c r="E437" s="45"/>
      <c r="F437" s="45"/>
      <c r="G437" s="45"/>
      <c r="H437" s="45"/>
      <c r="I437" s="45"/>
    </row>
    <row r="438" spans="5:9" ht="15.75" customHeight="1" x14ac:dyDescent="0.2">
      <c r="E438" s="45"/>
      <c r="F438" s="45"/>
      <c r="G438" s="45"/>
      <c r="H438" s="45"/>
      <c r="I438" s="45"/>
    </row>
    <row r="439" spans="5:9" ht="15.75" customHeight="1" x14ac:dyDescent="0.2">
      <c r="E439" s="45"/>
      <c r="F439" s="45"/>
      <c r="G439" s="45"/>
      <c r="H439" s="45"/>
      <c r="I439" s="45"/>
    </row>
    <row r="440" spans="5:9" ht="15.75" customHeight="1" x14ac:dyDescent="0.2">
      <c r="E440" s="45"/>
      <c r="F440" s="45"/>
      <c r="G440" s="45"/>
      <c r="H440" s="45"/>
      <c r="I440" s="45"/>
    </row>
    <row r="441" spans="5:9" ht="15.75" customHeight="1" x14ac:dyDescent="0.2">
      <c r="E441" s="45"/>
      <c r="F441" s="45"/>
      <c r="G441" s="45"/>
      <c r="H441" s="45"/>
      <c r="I441" s="45"/>
    </row>
    <row r="442" spans="5:9" ht="15.75" customHeight="1" x14ac:dyDescent="0.2">
      <c r="E442" s="45"/>
      <c r="F442" s="45"/>
      <c r="G442" s="45"/>
      <c r="H442" s="45"/>
      <c r="I442" s="45"/>
    </row>
    <row r="443" spans="5:9" ht="15.75" customHeight="1" x14ac:dyDescent="0.2">
      <c r="E443" s="45"/>
      <c r="F443" s="45"/>
      <c r="G443" s="45"/>
      <c r="H443" s="45"/>
      <c r="I443" s="45"/>
    </row>
    <row r="444" spans="5:9" ht="15.75" customHeight="1" x14ac:dyDescent="0.2">
      <c r="E444" s="45"/>
      <c r="F444" s="45"/>
      <c r="G444" s="45"/>
      <c r="H444" s="45"/>
      <c r="I444" s="45"/>
    </row>
    <row r="445" spans="5:9" ht="15.75" customHeight="1" x14ac:dyDescent="0.2">
      <c r="E445" s="45"/>
      <c r="F445" s="45"/>
      <c r="G445" s="45"/>
      <c r="H445" s="45"/>
      <c r="I445" s="45"/>
    </row>
    <row r="446" spans="5:9" ht="15.75" customHeight="1" x14ac:dyDescent="0.2">
      <c r="E446" s="45"/>
      <c r="F446" s="45"/>
      <c r="G446" s="45"/>
      <c r="H446" s="45"/>
      <c r="I446" s="45"/>
    </row>
    <row r="447" spans="5:9" ht="15.75" customHeight="1" x14ac:dyDescent="0.2">
      <c r="E447" s="45"/>
      <c r="F447" s="45"/>
      <c r="G447" s="45"/>
      <c r="H447" s="45"/>
      <c r="I447" s="45"/>
    </row>
    <row r="448" spans="5:9" ht="15.75" customHeight="1" x14ac:dyDescent="0.2">
      <c r="E448" s="45"/>
      <c r="F448" s="45"/>
      <c r="G448" s="45"/>
      <c r="H448" s="45"/>
      <c r="I448" s="45"/>
    </row>
    <row r="449" spans="5:9" ht="15.75" customHeight="1" x14ac:dyDescent="0.2">
      <c r="E449" s="45"/>
      <c r="F449" s="45"/>
      <c r="G449" s="45"/>
      <c r="H449" s="45"/>
      <c r="I449" s="45"/>
    </row>
    <row r="450" spans="5:9" ht="15.75" customHeight="1" x14ac:dyDescent="0.2">
      <c r="E450" s="45"/>
      <c r="F450" s="45"/>
      <c r="G450" s="45"/>
      <c r="H450" s="45"/>
      <c r="I450" s="45"/>
    </row>
    <row r="451" spans="5:9" ht="15.75" customHeight="1" x14ac:dyDescent="0.2">
      <c r="E451" s="45"/>
      <c r="F451" s="45"/>
      <c r="G451" s="45"/>
      <c r="H451" s="45"/>
      <c r="I451" s="45"/>
    </row>
    <row r="452" spans="5:9" ht="15.75" customHeight="1" x14ac:dyDescent="0.2">
      <c r="E452" s="45"/>
      <c r="F452" s="45"/>
      <c r="G452" s="45"/>
      <c r="H452" s="45"/>
      <c r="I452" s="45"/>
    </row>
    <row r="453" spans="5:9" ht="15.75" customHeight="1" x14ac:dyDescent="0.2">
      <c r="E453" s="45"/>
      <c r="F453" s="45"/>
      <c r="G453" s="45"/>
      <c r="H453" s="45"/>
      <c r="I453" s="45"/>
    </row>
    <row r="454" spans="5:9" ht="15.75" customHeight="1" x14ac:dyDescent="0.2">
      <c r="E454" s="45"/>
      <c r="F454" s="45"/>
      <c r="G454" s="45"/>
      <c r="H454" s="45"/>
      <c r="I454" s="45"/>
    </row>
    <row r="455" spans="5:9" ht="15.75" customHeight="1" x14ac:dyDescent="0.2">
      <c r="E455" s="45"/>
      <c r="F455" s="45"/>
      <c r="G455" s="45"/>
      <c r="H455" s="45"/>
      <c r="I455" s="45"/>
    </row>
    <row r="456" spans="5:9" ht="15.75" customHeight="1" x14ac:dyDescent="0.2">
      <c r="E456" s="45"/>
      <c r="F456" s="45"/>
      <c r="G456" s="45"/>
      <c r="H456" s="45"/>
      <c r="I456" s="45"/>
    </row>
    <row r="457" spans="5:9" ht="15.75" customHeight="1" x14ac:dyDescent="0.2">
      <c r="E457" s="45"/>
      <c r="F457" s="45"/>
      <c r="G457" s="45"/>
      <c r="H457" s="45"/>
      <c r="I457" s="45"/>
    </row>
    <row r="458" spans="5:9" ht="15.75" customHeight="1" x14ac:dyDescent="0.2">
      <c r="E458" s="45"/>
      <c r="F458" s="45"/>
      <c r="G458" s="45"/>
      <c r="H458" s="45"/>
      <c r="I458" s="45"/>
    </row>
    <row r="459" spans="5:9" ht="15.75" customHeight="1" x14ac:dyDescent="0.2">
      <c r="E459" s="45"/>
      <c r="F459" s="45"/>
      <c r="G459" s="45"/>
      <c r="H459" s="45"/>
      <c r="I459" s="45"/>
    </row>
    <row r="460" spans="5:9" ht="15.75" customHeight="1" x14ac:dyDescent="0.2">
      <c r="E460" s="45"/>
      <c r="F460" s="45"/>
      <c r="G460" s="45"/>
      <c r="H460" s="45"/>
      <c r="I460" s="45"/>
    </row>
    <row r="461" spans="5:9" ht="15.75" customHeight="1" x14ac:dyDescent="0.2">
      <c r="E461" s="45"/>
      <c r="F461" s="45"/>
      <c r="G461" s="45"/>
      <c r="H461" s="45"/>
      <c r="I461" s="45"/>
    </row>
    <row r="462" spans="5:9" ht="15.75" customHeight="1" x14ac:dyDescent="0.2">
      <c r="E462" s="45"/>
      <c r="F462" s="45"/>
      <c r="G462" s="45"/>
      <c r="H462" s="45"/>
      <c r="I462" s="45"/>
    </row>
    <row r="463" spans="5:9" ht="15.75" customHeight="1" x14ac:dyDescent="0.2">
      <c r="E463" s="45"/>
      <c r="F463" s="45"/>
      <c r="G463" s="45"/>
      <c r="H463" s="45"/>
      <c r="I463" s="45"/>
    </row>
    <row r="464" spans="5:9" ht="15.75" customHeight="1" x14ac:dyDescent="0.2">
      <c r="E464" s="45"/>
      <c r="F464" s="45"/>
      <c r="G464" s="45"/>
      <c r="H464" s="45"/>
      <c r="I464" s="45"/>
    </row>
    <row r="465" spans="5:9" ht="15.75" customHeight="1" x14ac:dyDescent="0.2">
      <c r="E465" s="45"/>
      <c r="F465" s="45"/>
      <c r="G465" s="45"/>
      <c r="H465" s="45"/>
      <c r="I465" s="45"/>
    </row>
    <row r="466" spans="5:9" ht="15.75" customHeight="1" x14ac:dyDescent="0.2">
      <c r="E466" s="45"/>
      <c r="F466" s="45"/>
      <c r="G466" s="45"/>
      <c r="H466" s="45"/>
      <c r="I466" s="45"/>
    </row>
    <row r="467" spans="5:9" ht="15.75" customHeight="1" x14ac:dyDescent="0.2">
      <c r="E467" s="45"/>
      <c r="F467" s="45"/>
      <c r="G467" s="45"/>
      <c r="H467" s="45"/>
      <c r="I467" s="45"/>
    </row>
    <row r="468" spans="5:9" ht="15.75" customHeight="1" x14ac:dyDescent="0.2">
      <c r="E468" s="45"/>
      <c r="F468" s="45"/>
      <c r="G468" s="45"/>
      <c r="H468" s="45"/>
      <c r="I468" s="45"/>
    </row>
    <row r="469" spans="5:9" ht="15.75" customHeight="1" x14ac:dyDescent="0.2">
      <c r="E469" s="45"/>
      <c r="F469" s="45"/>
      <c r="G469" s="45"/>
      <c r="H469" s="45"/>
      <c r="I469" s="45"/>
    </row>
    <row r="470" spans="5:9" ht="15.75" customHeight="1" x14ac:dyDescent="0.2">
      <c r="E470" s="45"/>
      <c r="F470" s="45"/>
      <c r="G470" s="45"/>
      <c r="H470" s="45"/>
      <c r="I470" s="45"/>
    </row>
    <row r="471" spans="5:9" ht="15.75" customHeight="1" x14ac:dyDescent="0.2">
      <c r="E471" s="45"/>
      <c r="F471" s="45"/>
      <c r="G471" s="45"/>
      <c r="H471" s="45"/>
      <c r="I471" s="45"/>
    </row>
    <row r="472" spans="5:9" ht="15.75" customHeight="1" x14ac:dyDescent="0.2">
      <c r="E472" s="45"/>
      <c r="F472" s="45"/>
      <c r="G472" s="45"/>
      <c r="H472" s="45"/>
      <c r="I472" s="45"/>
    </row>
    <row r="473" spans="5:9" ht="15.75" customHeight="1" x14ac:dyDescent="0.2">
      <c r="E473" s="45"/>
      <c r="F473" s="45"/>
      <c r="G473" s="45"/>
      <c r="H473" s="45"/>
      <c r="I473" s="45"/>
    </row>
    <row r="474" spans="5:9" ht="15.75" customHeight="1" x14ac:dyDescent="0.2">
      <c r="E474" s="45"/>
      <c r="F474" s="45"/>
      <c r="G474" s="45"/>
      <c r="H474" s="45"/>
      <c r="I474" s="45"/>
    </row>
    <row r="475" spans="5:9" ht="15.75" customHeight="1" x14ac:dyDescent="0.2">
      <c r="E475" s="45"/>
      <c r="F475" s="45"/>
      <c r="G475" s="45"/>
      <c r="H475" s="45"/>
      <c r="I475" s="45"/>
    </row>
    <row r="476" spans="5:9" ht="15.75" customHeight="1" x14ac:dyDescent="0.2">
      <c r="E476" s="45"/>
      <c r="F476" s="45"/>
      <c r="G476" s="45"/>
      <c r="H476" s="45"/>
      <c r="I476" s="45"/>
    </row>
    <row r="477" spans="5:9" ht="15.75" customHeight="1" x14ac:dyDescent="0.2">
      <c r="E477" s="45"/>
      <c r="F477" s="45"/>
      <c r="G477" s="45"/>
      <c r="H477" s="45"/>
      <c r="I477" s="45"/>
    </row>
    <row r="478" spans="5:9" ht="15.75" customHeight="1" x14ac:dyDescent="0.2">
      <c r="E478" s="45"/>
      <c r="F478" s="45"/>
      <c r="G478" s="45"/>
      <c r="H478" s="45"/>
      <c r="I478" s="45"/>
    </row>
    <row r="479" spans="5:9" ht="15.75" customHeight="1" x14ac:dyDescent="0.2">
      <c r="E479" s="45"/>
      <c r="F479" s="45"/>
      <c r="G479" s="45"/>
      <c r="H479" s="45"/>
      <c r="I479" s="45"/>
    </row>
    <row r="480" spans="5:9" ht="15.75" customHeight="1" x14ac:dyDescent="0.2">
      <c r="E480" s="45"/>
      <c r="F480" s="45"/>
      <c r="G480" s="45"/>
      <c r="H480" s="45"/>
      <c r="I480" s="45"/>
    </row>
    <row r="481" spans="5:9" ht="15.75" customHeight="1" x14ac:dyDescent="0.2">
      <c r="E481" s="45"/>
      <c r="F481" s="45"/>
      <c r="G481" s="45"/>
      <c r="H481" s="45"/>
      <c r="I481" s="45"/>
    </row>
    <row r="482" spans="5:9" ht="15.75" customHeight="1" x14ac:dyDescent="0.2">
      <c r="E482" s="45"/>
      <c r="F482" s="45"/>
      <c r="G482" s="45"/>
      <c r="H482" s="45"/>
      <c r="I482" s="45"/>
    </row>
    <row r="483" spans="5:9" ht="15.75" customHeight="1" x14ac:dyDescent="0.2">
      <c r="E483" s="45"/>
      <c r="F483" s="45"/>
      <c r="G483" s="45"/>
      <c r="H483" s="45"/>
      <c r="I483" s="45"/>
    </row>
    <row r="484" spans="5:9" ht="15.75" customHeight="1" x14ac:dyDescent="0.2">
      <c r="E484" s="45"/>
      <c r="F484" s="45"/>
      <c r="G484" s="45"/>
      <c r="H484" s="45"/>
      <c r="I484" s="45"/>
    </row>
    <row r="485" spans="5:9" ht="15.75" customHeight="1" x14ac:dyDescent="0.2">
      <c r="E485" s="45"/>
      <c r="F485" s="45"/>
      <c r="G485" s="45"/>
      <c r="H485" s="45"/>
      <c r="I485" s="45"/>
    </row>
    <row r="486" spans="5:9" ht="15.75" customHeight="1" x14ac:dyDescent="0.2">
      <c r="E486" s="45"/>
      <c r="F486" s="45"/>
      <c r="G486" s="45"/>
      <c r="H486" s="45"/>
      <c r="I486" s="45"/>
    </row>
    <row r="487" spans="5:9" ht="15.75" customHeight="1" x14ac:dyDescent="0.2">
      <c r="E487" s="45"/>
      <c r="F487" s="45"/>
      <c r="G487" s="45"/>
      <c r="H487" s="45"/>
      <c r="I487" s="45"/>
    </row>
    <row r="488" spans="5:9" ht="15.75" customHeight="1" x14ac:dyDescent="0.2">
      <c r="E488" s="45"/>
      <c r="F488" s="45"/>
      <c r="G488" s="45"/>
      <c r="H488" s="45"/>
      <c r="I488" s="45"/>
    </row>
    <row r="489" spans="5:9" ht="15.75" customHeight="1" x14ac:dyDescent="0.2">
      <c r="E489" s="45"/>
      <c r="F489" s="45"/>
      <c r="G489" s="45"/>
      <c r="H489" s="45"/>
      <c r="I489" s="45"/>
    </row>
    <row r="490" spans="5:9" ht="15.75" customHeight="1" x14ac:dyDescent="0.2">
      <c r="E490" s="45"/>
      <c r="F490" s="45"/>
      <c r="G490" s="45"/>
      <c r="H490" s="45"/>
      <c r="I490" s="45"/>
    </row>
    <row r="491" spans="5:9" ht="15.75" customHeight="1" x14ac:dyDescent="0.2">
      <c r="E491" s="45"/>
      <c r="F491" s="45"/>
      <c r="G491" s="45"/>
      <c r="H491" s="45"/>
      <c r="I491" s="45"/>
    </row>
    <row r="492" spans="5:9" ht="15.75" customHeight="1" x14ac:dyDescent="0.2">
      <c r="E492" s="45"/>
      <c r="F492" s="45"/>
      <c r="G492" s="45"/>
      <c r="H492" s="45"/>
      <c r="I492" s="45"/>
    </row>
    <row r="493" spans="5:9" ht="15.75" customHeight="1" x14ac:dyDescent="0.2">
      <c r="E493" s="45"/>
      <c r="F493" s="45"/>
      <c r="G493" s="45"/>
      <c r="H493" s="45"/>
      <c r="I493" s="45"/>
    </row>
    <row r="494" spans="5:9" ht="15.75" customHeight="1" x14ac:dyDescent="0.2">
      <c r="E494" s="45"/>
      <c r="F494" s="45"/>
      <c r="G494" s="45"/>
      <c r="H494" s="45"/>
      <c r="I494" s="45"/>
    </row>
    <row r="495" spans="5:9" ht="15.75" customHeight="1" x14ac:dyDescent="0.2">
      <c r="E495" s="45"/>
      <c r="F495" s="45"/>
      <c r="G495" s="45"/>
      <c r="H495" s="45"/>
      <c r="I495" s="45"/>
    </row>
    <row r="496" spans="5:9" ht="15.75" customHeight="1" x14ac:dyDescent="0.2">
      <c r="E496" s="45"/>
      <c r="F496" s="45"/>
      <c r="G496" s="45"/>
      <c r="H496" s="45"/>
      <c r="I496" s="45"/>
    </row>
    <row r="497" spans="5:9" ht="15.75" customHeight="1" x14ac:dyDescent="0.2">
      <c r="E497" s="45"/>
      <c r="F497" s="45"/>
      <c r="G497" s="45"/>
      <c r="H497" s="45"/>
      <c r="I497" s="45"/>
    </row>
    <row r="498" spans="5:9" ht="15.75" customHeight="1" x14ac:dyDescent="0.2">
      <c r="E498" s="45"/>
      <c r="F498" s="45"/>
      <c r="G498" s="45"/>
      <c r="H498" s="45"/>
      <c r="I498" s="45"/>
    </row>
    <row r="499" spans="5:9" ht="15.75" customHeight="1" x14ac:dyDescent="0.2">
      <c r="E499" s="45"/>
      <c r="F499" s="45"/>
      <c r="G499" s="45"/>
      <c r="H499" s="45"/>
      <c r="I499" s="45"/>
    </row>
    <row r="500" spans="5:9" ht="15.75" customHeight="1" x14ac:dyDescent="0.2">
      <c r="E500" s="45"/>
      <c r="F500" s="45"/>
      <c r="G500" s="45"/>
      <c r="H500" s="45"/>
      <c r="I500" s="45"/>
    </row>
    <row r="501" spans="5:9" ht="15.75" customHeight="1" x14ac:dyDescent="0.2">
      <c r="E501" s="45"/>
      <c r="F501" s="45"/>
      <c r="G501" s="45"/>
      <c r="H501" s="45"/>
      <c r="I501" s="45"/>
    </row>
    <row r="502" spans="5:9" ht="15.75" customHeight="1" x14ac:dyDescent="0.2">
      <c r="E502" s="45"/>
      <c r="F502" s="45"/>
      <c r="G502" s="45"/>
      <c r="H502" s="45"/>
      <c r="I502" s="45"/>
    </row>
    <row r="503" spans="5:9" ht="15.75" customHeight="1" x14ac:dyDescent="0.2">
      <c r="E503" s="45"/>
      <c r="F503" s="45"/>
      <c r="G503" s="45"/>
      <c r="H503" s="45"/>
      <c r="I503" s="45"/>
    </row>
    <row r="504" spans="5:9" ht="15.75" customHeight="1" x14ac:dyDescent="0.2">
      <c r="E504" s="45"/>
      <c r="F504" s="45"/>
      <c r="G504" s="45"/>
      <c r="H504" s="45"/>
      <c r="I504" s="45"/>
    </row>
    <row r="505" spans="5:9" ht="15.75" customHeight="1" x14ac:dyDescent="0.2">
      <c r="E505" s="45"/>
      <c r="F505" s="45"/>
      <c r="G505" s="45"/>
      <c r="H505" s="45"/>
      <c r="I505" s="45"/>
    </row>
    <row r="506" spans="5:9" ht="15.75" customHeight="1" x14ac:dyDescent="0.2">
      <c r="E506" s="45"/>
      <c r="F506" s="45"/>
      <c r="G506" s="45"/>
      <c r="H506" s="45"/>
      <c r="I506" s="45"/>
    </row>
    <row r="507" spans="5:9" ht="15.75" customHeight="1" x14ac:dyDescent="0.2">
      <c r="E507" s="45"/>
      <c r="F507" s="45"/>
      <c r="G507" s="45"/>
      <c r="H507" s="45"/>
      <c r="I507" s="45"/>
    </row>
    <row r="508" spans="5:9" ht="15.75" customHeight="1" x14ac:dyDescent="0.2">
      <c r="E508" s="45"/>
      <c r="F508" s="45"/>
      <c r="G508" s="45"/>
      <c r="H508" s="45"/>
      <c r="I508" s="45"/>
    </row>
    <row r="509" spans="5:9" ht="15.75" customHeight="1" x14ac:dyDescent="0.2">
      <c r="E509" s="45"/>
      <c r="F509" s="45"/>
      <c r="G509" s="45"/>
      <c r="H509" s="45"/>
      <c r="I509" s="45"/>
    </row>
    <row r="510" spans="5:9" ht="15.75" customHeight="1" x14ac:dyDescent="0.2">
      <c r="E510" s="45"/>
      <c r="F510" s="45"/>
      <c r="G510" s="45"/>
      <c r="H510" s="45"/>
      <c r="I510" s="45"/>
    </row>
    <row r="511" spans="5:9" ht="15.75" customHeight="1" x14ac:dyDescent="0.2">
      <c r="E511" s="45"/>
      <c r="F511" s="45"/>
      <c r="G511" s="45"/>
      <c r="H511" s="45"/>
      <c r="I511" s="45"/>
    </row>
    <row r="512" spans="5:9" ht="15.75" customHeight="1" x14ac:dyDescent="0.2">
      <c r="E512" s="45"/>
      <c r="F512" s="45"/>
      <c r="G512" s="45"/>
      <c r="H512" s="45"/>
      <c r="I512" s="45"/>
    </row>
    <row r="513" spans="5:9" ht="15.75" customHeight="1" x14ac:dyDescent="0.2">
      <c r="E513" s="45"/>
      <c r="F513" s="45"/>
      <c r="G513" s="45"/>
      <c r="H513" s="45"/>
      <c r="I513" s="45"/>
    </row>
    <row r="514" spans="5:9" ht="15.75" customHeight="1" x14ac:dyDescent="0.2">
      <c r="E514" s="45"/>
      <c r="F514" s="45"/>
      <c r="G514" s="45"/>
      <c r="H514" s="45"/>
      <c r="I514" s="45"/>
    </row>
    <row r="515" spans="5:9" ht="15.75" customHeight="1" x14ac:dyDescent="0.2">
      <c r="E515" s="45"/>
      <c r="F515" s="45"/>
      <c r="G515" s="45"/>
      <c r="H515" s="45"/>
      <c r="I515" s="45"/>
    </row>
    <row r="516" spans="5:9" ht="15.75" customHeight="1" x14ac:dyDescent="0.2">
      <c r="E516" s="45"/>
      <c r="F516" s="45"/>
      <c r="G516" s="45"/>
      <c r="H516" s="45"/>
      <c r="I516" s="45"/>
    </row>
    <row r="517" spans="5:9" ht="15.75" customHeight="1" x14ac:dyDescent="0.2">
      <c r="E517" s="45"/>
      <c r="F517" s="45"/>
      <c r="G517" s="45"/>
      <c r="H517" s="45"/>
      <c r="I517" s="45"/>
    </row>
    <row r="518" spans="5:9" ht="15.75" customHeight="1" x14ac:dyDescent="0.2">
      <c r="E518" s="45"/>
      <c r="F518" s="45"/>
      <c r="G518" s="45"/>
      <c r="H518" s="45"/>
      <c r="I518" s="45"/>
    </row>
    <row r="519" spans="5:9" ht="15.75" customHeight="1" x14ac:dyDescent="0.2">
      <c r="E519" s="45"/>
      <c r="F519" s="45"/>
      <c r="G519" s="45"/>
      <c r="H519" s="45"/>
      <c r="I519" s="45"/>
    </row>
    <row r="520" spans="5:9" ht="15.75" customHeight="1" x14ac:dyDescent="0.2">
      <c r="E520" s="45"/>
      <c r="F520" s="45"/>
      <c r="G520" s="45"/>
      <c r="H520" s="45"/>
      <c r="I520" s="45"/>
    </row>
    <row r="521" spans="5:9" ht="15.75" customHeight="1" x14ac:dyDescent="0.2">
      <c r="E521" s="45"/>
      <c r="F521" s="45"/>
      <c r="G521" s="45"/>
      <c r="H521" s="45"/>
      <c r="I521" s="45"/>
    </row>
    <row r="522" spans="5:9" ht="15.75" customHeight="1" x14ac:dyDescent="0.2">
      <c r="E522" s="45"/>
      <c r="F522" s="45"/>
      <c r="G522" s="45"/>
      <c r="H522" s="45"/>
      <c r="I522" s="45"/>
    </row>
    <row r="523" spans="5:9" ht="15.75" customHeight="1" x14ac:dyDescent="0.2">
      <c r="E523" s="45"/>
      <c r="F523" s="45"/>
      <c r="G523" s="45"/>
      <c r="H523" s="45"/>
      <c r="I523" s="45"/>
    </row>
    <row r="524" spans="5:9" ht="15.75" customHeight="1" x14ac:dyDescent="0.2">
      <c r="E524" s="45"/>
      <c r="F524" s="45"/>
      <c r="G524" s="45"/>
      <c r="H524" s="45"/>
      <c r="I524" s="45"/>
    </row>
    <row r="525" spans="5:9" ht="15.75" customHeight="1" x14ac:dyDescent="0.2">
      <c r="E525" s="45"/>
      <c r="F525" s="45"/>
      <c r="G525" s="45"/>
      <c r="H525" s="45"/>
      <c r="I525" s="45"/>
    </row>
    <row r="526" spans="5:9" ht="15.75" customHeight="1" x14ac:dyDescent="0.2">
      <c r="E526" s="45"/>
      <c r="F526" s="45"/>
      <c r="G526" s="45"/>
      <c r="H526" s="45"/>
      <c r="I526" s="45"/>
    </row>
    <row r="527" spans="5:9" ht="15.75" customHeight="1" x14ac:dyDescent="0.2">
      <c r="E527" s="45"/>
      <c r="F527" s="45"/>
      <c r="G527" s="45"/>
      <c r="H527" s="45"/>
      <c r="I527" s="45"/>
    </row>
    <row r="528" spans="5:9" ht="15.75" customHeight="1" x14ac:dyDescent="0.2">
      <c r="E528" s="45"/>
      <c r="F528" s="45"/>
      <c r="G528" s="45"/>
      <c r="H528" s="45"/>
      <c r="I528" s="45"/>
    </row>
    <row r="529" spans="5:9" ht="15.75" customHeight="1" x14ac:dyDescent="0.2">
      <c r="E529" s="45"/>
      <c r="F529" s="45"/>
      <c r="G529" s="45"/>
      <c r="H529" s="45"/>
      <c r="I529" s="45"/>
    </row>
    <row r="530" spans="5:9" ht="15.75" customHeight="1" x14ac:dyDescent="0.2">
      <c r="E530" s="45"/>
      <c r="F530" s="45"/>
      <c r="G530" s="45"/>
      <c r="H530" s="45"/>
      <c r="I530" s="45"/>
    </row>
    <row r="531" spans="5:9" ht="15.75" customHeight="1" x14ac:dyDescent="0.2">
      <c r="E531" s="45"/>
      <c r="F531" s="45"/>
      <c r="G531" s="45"/>
      <c r="H531" s="45"/>
      <c r="I531" s="45"/>
    </row>
    <row r="532" spans="5:9" ht="15.75" customHeight="1" x14ac:dyDescent="0.2">
      <c r="E532" s="45"/>
      <c r="F532" s="45"/>
      <c r="G532" s="45"/>
      <c r="H532" s="45"/>
      <c r="I532" s="45"/>
    </row>
    <row r="533" spans="5:9" ht="15.75" customHeight="1" x14ac:dyDescent="0.2">
      <c r="E533" s="45"/>
      <c r="F533" s="45"/>
      <c r="G533" s="45"/>
      <c r="H533" s="45"/>
      <c r="I533" s="45"/>
    </row>
    <row r="534" spans="5:9" ht="15.75" customHeight="1" x14ac:dyDescent="0.2">
      <c r="E534" s="45"/>
      <c r="F534" s="45"/>
      <c r="G534" s="45"/>
      <c r="H534" s="45"/>
      <c r="I534" s="45"/>
    </row>
    <row r="535" spans="5:9" ht="15.75" customHeight="1" x14ac:dyDescent="0.2">
      <c r="E535" s="45"/>
      <c r="F535" s="45"/>
      <c r="G535" s="45"/>
      <c r="H535" s="45"/>
      <c r="I535" s="45"/>
    </row>
    <row r="536" spans="5:9" ht="15.75" customHeight="1" x14ac:dyDescent="0.2">
      <c r="E536" s="45"/>
      <c r="F536" s="45"/>
      <c r="G536" s="45"/>
      <c r="H536" s="45"/>
      <c r="I536" s="45"/>
    </row>
    <row r="537" spans="5:9" ht="15.75" customHeight="1" x14ac:dyDescent="0.2">
      <c r="E537" s="45"/>
      <c r="F537" s="45"/>
      <c r="G537" s="45"/>
      <c r="H537" s="45"/>
      <c r="I537" s="45"/>
    </row>
    <row r="538" spans="5:9" ht="15.75" customHeight="1" x14ac:dyDescent="0.2">
      <c r="E538" s="45"/>
      <c r="F538" s="45"/>
      <c r="G538" s="45"/>
      <c r="H538" s="45"/>
      <c r="I538" s="45"/>
    </row>
    <row r="539" spans="5:9" ht="15.75" customHeight="1" x14ac:dyDescent="0.2">
      <c r="E539" s="45"/>
      <c r="F539" s="45"/>
      <c r="G539" s="45"/>
      <c r="H539" s="45"/>
      <c r="I539" s="45"/>
    </row>
    <row r="540" spans="5:9" ht="15.75" customHeight="1" x14ac:dyDescent="0.2">
      <c r="E540" s="45"/>
      <c r="F540" s="45"/>
      <c r="G540" s="45"/>
      <c r="H540" s="45"/>
      <c r="I540" s="45"/>
    </row>
    <row r="541" spans="5:9" ht="15.75" customHeight="1" x14ac:dyDescent="0.2">
      <c r="E541" s="45"/>
      <c r="F541" s="45"/>
      <c r="G541" s="45"/>
      <c r="H541" s="45"/>
      <c r="I541" s="45"/>
    </row>
    <row r="542" spans="5:9" ht="15.75" customHeight="1" x14ac:dyDescent="0.2">
      <c r="E542" s="45"/>
      <c r="F542" s="45"/>
      <c r="G542" s="45"/>
      <c r="H542" s="45"/>
      <c r="I542" s="45"/>
    </row>
    <row r="543" spans="5:9" ht="15.75" customHeight="1" x14ac:dyDescent="0.2">
      <c r="E543" s="45"/>
      <c r="F543" s="45"/>
      <c r="G543" s="45"/>
      <c r="H543" s="45"/>
      <c r="I543" s="45"/>
    </row>
    <row r="544" spans="5:9" ht="15.75" customHeight="1" x14ac:dyDescent="0.2">
      <c r="E544" s="45"/>
      <c r="F544" s="45"/>
      <c r="G544" s="45"/>
      <c r="H544" s="45"/>
      <c r="I544" s="45"/>
    </row>
    <row r="545" spans="5:9" ht="15.75" customHeight="1" x14ac:dyDescent="0.2">
      <c r="E545" s="45"/>
      <c r="F545" s="45"/>
      <c r="G545" s="45"/>
      <c r="H545" s="45"/>
      <c r="I545" s="45"/>
    </row>
    <row r="546" spans="5:9" ht="15.75" customHeight="1" x14ac:dyDescent="0.2">
      <c r="E546" s="45"/>
      <c r="F546" s="45"/>
      <c r="G546" s="45"/>
      <c r="H546" s="45"/>
      <c r="I546" s="45"/>
    </row>
    <row r="547" spans="5:9" ht="15.75" customHeight="1" x14ac:dyDescent="0.2">
      <c r="E547" s="45"/>
      <c r="F547" s="45"/>
      <c r="G547" s="45"/>
      <c r="H547" s="45"/>
      <c r="I547" s="45"/>
    </row>
    <row r="548" spans="5:9" ht="15.75" customHeight="1" x14ac:dyDescent="0.2">
      <c r="E548" s="45"/>
      <c r="F548" s="45"/>
      <c r="G548" s="45"/>
      <c r="H548" s="45"/>
      <c r="I548" s="45"/>
    </row>
    <row r="549" spans="5:9" ht="15.75" customHeight="1" x14ac:dyDescent="0.2">
      <c r="E549" s="45"/>
      <c r="F549" s="45"/>
      <c r="G549" s="45"/>
      <c r="H549" s="45"/>
      <c r="I549" s="45"/>
    </row>
    <row r="550" spans="5:9" ht="15.75" customHeight="1" x14ac:dyDescent="0.2">
      <c r="E550" s="45"/>
      <c r="F550" s="45"/>
      <c r="G550" s="45"/>
      <c r="H550" s="45"/>
      <c r="I550" s="45"/>
    </row>
    <row r="551" spans="5:9" ht="15.75" customHeight="1" x14ac:dyDescent="0.2">
      <c r="E551" s="45"/>
      <c r="F551" s="45"/>
      <c r="G551" s="45"/>
      <c r="H551" s="45"/>
      <c r="I551" s="45"/>
    </row>
    <row r="552" spans="5:9" ht="15.75" customHeight="1" x14ac:dyDescent="0.2">
      <c r="E552" s="45"/>
      <c r="F552" s="45"/>
      <c r="G552" s="45"/>
      <c r="H552" s="45"/>
      <c r="I552" s="45"/>
    </row>
    <row r="553" spans="5:9" ht="15.75" customHeight="1" x14ac:dyDescent="0.2">
      <c r="E553" s="45"/>
      <c r="F553" s="45"/>
      <c r="G553" s="45"/>
      <c r="H553" s="45"/>
      <c r="I553" s="45"/>
    </row>
    <row r="554" spans="5:9" ht="15.75" customHeight="1" x14ac:dyDescent="0.2">
      <c r="E554" s="45"/>
      <c r="F554" s="45"/>
      <c r="G554" s="45"/>
      <c r="H554" s="45"/>
      <c r="I554" s="45"/>
    </row>
    <row r="555" spans="5:9" ht="15.75" customHeight="1" x14ac:dyDescent="0.2">
      <c r="E555" s="45"/>
      <c r="F555" s="45"/>
      <c r="G555" s="45"/>
      <c r="H555" s="45"/>
      <c r="I555" s="45"/>
    </row>
    <row r="556" spans="5:9" ht="15.75" customHeight="1" x14ac:dyDescent="0.2">
      <c r="E556" s="45"/>
      <c r="F556" s="45"/>
      <c r="G556" s="45"/>
      <c r="H556" s="45"/>
      <c r="I556" s="45"/>
    </row>
    <row r="557" spans="5:9" ht="15.75" customHeight="1" x14ac:dyDescent="0.2">
      <c r="E557" s="45"/>
      <c r="F557" s="45"/>
      <c r="G557" s="45"/>
      <c r="H557" s="45"/>
      <c r="I557" s="45"/>
    </row>
    <row r="558" spans="5:9" ht="15.75" customHeight="1" x14ac:dyDescent="0.2">
      <c r="E558" s="45"/>
      <c r="F558" s="45"/>
      <c r="G558" s="45"/>
      <c r="H558" s="45"/>
      <c r="I558" s="45"/>
    </row>
    <row r="559" spans="5:9" ht="15.75" customHeight="1" x14ac:dyDescent="0.2">
      <c r="E559" s="45"/>
      <c r="F559" s="45"/>
      <c r="G559" s="45"/>
      <c r="H559" s="45"/>
      <c r="I559" s="45"/>
    </row>
    <row r="560" spans="5:9" ht="15.75" customHeight="1" x14ac:dyDescent="0.2">
      <c r="E560" s="45"/>
      <c r="F560" s="45"/>
      <c r="G560" s="45"/>
      <c r="H560" s="45"/>
      <c r="I560" s="45"/>
    </row>
    <row r="561" spans="5:9" ht="15.75" customHeight="1" x14ac:dyDescent="0.2">
      <c r="E561" s="45"/>
      <c r="F561" s="45"/>
      <c r="G561" s="45"/>
      <c r="H561" s="45"/>
      <c r="I561" s="45"/>
    </row>
    <row r="562" spans="5:9" ht="15.75" customHeight="1" x14ac:dyDescent="0.2">
      <c r="E562" s="45"/>
      <c r="F562" s="45"/>
      <c r="G562" s="45"/>
      <c r="H562" s="45"/>
      <c r="I562" s="45"/>
    </row>
    <row r="563" spans="5:9" ht="15.75" customHeight="1" x14ac:dyDescent="0.2">
      <c r="E563" s="45"/>
      <c r="F563" s="45"/>
      <c r="G563" s="45"/>
      <c r="H563" s="45"/>
      <c r="I563" s="45"/>
    </row>
    <row r="564" spans="5:9" ht="15.75" customHeight="1" x14ac:dyDescent="0.2">
      <c r="E564" s="45"/>
      <c r="F564" s="45"/>
      <c r="G564" s="45"/>
      <c r="H564" s="45"/>
      <c r="I564" s="45"/>
    </row>
    <row r="565" spans="5:9" ht="15.75" customHeight="1" x14ac:dyDescent="0.2">
      <c r="E565" s="45"/>
      <c r="F565" s="45"/>
      <c r="G565" s="45"/>
      <c r="H565" s="45"/>
      <c r="I565" s="45"/>
    </row>
    <row r="566" spans="5:9" ht="15.75" customHeight="1" x14ac:dyDescent="0.2">
      <c r="E566" s="45"/>
      <c r="F566" s="45"/>
      <c r="G566" s="45"/>
      <c r="H566" s="45"/>
      <c r="I566" s="45"/>
    </row>
    <row r="567" spans="5:9" ht="15.75" customHeight="1" x14ac:dyDescent="0.2">
      <c r="E567" s="45"/>
      <c r="F567" s="45"/>
      <c r="G567" s="45"/>
      <c r="H567" s="45"/>
      <c r="I567" s="45"/>
    </row>
    <row r="568" spans="5:9" ht="15.75" customHeight="1" x14ac:dyDescent="0.2">
      <c r="E568" s="45"/>
      <c r="F568" s="45"/>
      <c r="G568" s="45"/>
      <c r="H568" s="45"/>
      <c r="I568" s="45"/>
    </row>
    <row r="569" spans="5:9" ht="15.75" customHeight="1" x14ac:dyDescent="0.2">
      <c r="E569" s="45"/>
      <c r="F569" s="45"/>
      <c r="G569" s="45"/>
      <c r="H569" s="45"/>
      <c r="I569" s="45"/>
    </row>
    <row r="570" spans="5:9" ht="15.75" customHeight="1" x14ac:dyDescent="0.2">
      <c r="E570" s="45"/>
      <c r="F570" s="45"/>
      <c r="G570" s="45"/>
      <c r="H570" s="45"/>
      <c r="I570" s="45"/>
    </row>
    <row r="571" spans="5:9" ht="15.75" customHeight="1" x14ac:dyDescent="0.2">
      <c r="E571" s="45"/>
      <c r="F571" s="45"/>
      <c r="G571" s="45"/>
      <c r="H571" s="45"/>
      <c r="I571" s="45"/>
    </row>
    <row r="572" spans="5:9" ht="15.75" customHeight="1" x14ac:dyDescent="0.2">
      <c r="E572" s="45"/>
      <c r="F572" s="45"/>
      <c r="G572" s="45"/>
      <c r="H572" s="45"/>
      <c r="I572" s="45"/>
    </row>
    <row r="573" spans="5:9" ht="15.75" customHeight="1" x14ac:dyDescent="0.2">
      <c r="E573" s="45"/>
      <c r="F573" s="45"/>
      <c r="G573" s="45"/>
      <c r="H573" s="45"/>
      <c r="I573" s="45"/>
    </row>
    <row r="574" spans="5:9" ht="15.75" customHeight="1" x14ac:dyDescent="0.2">
      <c r="E574" s="45"/>
      <c r="F574" s="45"/>
      <c r="G574" s="45"/>
      <c r="H574" s="45"/>
      <c r="I574" s="45"/>
    </row>
    <row r="575" spans="5:9" ht="15.75" customHeight="1" x14ac:dyDescent="0.2">
      <c r="E575" s="45"/>
      <c r="F575" s="45"/>
      <c r="G575" s="45"/>
      <c r="H575" s="45"/>
      <c r="I575" s="45"/>
    </row>
    <row r="576" spans="5:9" ht="15.75" customHeight="1" x14ac:dyDescent="0.2">
      <c r="E576" s="45"/>
      <c r="F576" s="45"/>
      <c r="G576" s="45"/>
      <c r="H576" s="45"/>
      <c r="I576" s="45"/>
    </row>
    <row r="577" spans="5:9" ht="15.75" customHeight="1" x14ac:dyDescent="0.2">
      <c r="E577" s="45"/>
      <c r="F577" s="45"/>
      <c r="G577" s="45"/>
      <c r="H577" s="45"/>
      <c r="I577" s="45"/>
    </row>
    <row r="578" spans="5:9" ht="15.75" customHeight="1" x14ac:dyDescent="0.2">
      <c r="E578" s="45"/>
      <c r="F578" s="45"/>
      <c r="G578" s="45"/>
      <c r="H578" s="45"/>
      <c r="I578" s="45"/>
    </row>
    <row r="579" spans="5:9" ht="15.75" customHeight="1" x14ac:dyDescent="0.2">
      <c r="E579" s="45"/>
      <c r="F579" s="45"/>
      <c r="G579" s="45"/>
      <c r="H579" s="45"/>
      <c r="I579" s="45"/>
    </row>
    <row r="580" spans="5:9" ht="15.75" customHeight="1" x14ac:dyDescent="0.2">
      <c r="E580" s="45"/>
      <c r="F580" s="45"/>
      <c r="G580" s="45"/>
      <c r="H580" s="45"/>
      <c r="I580" s="45"/>
    </row>
    <row r="581" spans="5:9" ht="15.75" customHeight="1" x14ac:dyDescent="0.2">
      <c r="E581" s="45"/>
      <c r="F581" s="45"/>
      <c r="G581" s="45"/>
      <c r="H581" s="45"/>
      <c r="I581" s="45"/>
    </row>
    <row r="582" spans="5:9" ht="15.75" customHeight="1" x14ac:dyDescent="0.2">
      <c r="E582" s="45"/>
      <c r="F582" s="45"/>
      <c r="G582" s="45"/>
      <c r="H582" s="45"/>
      <c r="I582" s="45"/>
    </row>
    <row r="583" spans="5:9" ht="15.75" customHeight="1" x14ac:dyDescent="0.2">
      <c r="E583" s="45"/>
      <c r="F583" s="45"/>
      <c r="G583" s="45"/>
      <c r="H583" s="45"/>
      <c r="I583" s="45"/>
    </row>
    <row r="584" spans="5:9" ht="15.75" customHeight="1" x14ac:dyDescent="0.2">
      <c r="E584" s="45"/>
      <c r="F584" s="45"/>
      <c r="G584" s="45"/>
      <c r="H584" s="45"/>
      <c r="I584" s="45"/>
    </row>
    <row r="585" spans="5:9" ht="15.75" customHeight="1" x14ac:dyDescent="0.2">
      <c r="E585" s="45"/>
      <c r="F585" s="45"/>
      <c r="G585" s="45"/>
      <c r="H585" s="45"/>
      <c r="I585" s="45"/>
    </row>
    <row r="586" spans="5:9" ht="15.75" customHeight="1" x14ac:dyDescent="0.2">
      <c r="E586" s="45"/>
      <c r="F586" s="45"/>
      <c r="G586" s="45"/>
      <c r="H586" s="45"/>
      <c r="I586" s="45"/>
    </row>
    <row r="587" spans="5:9" ht="15.75" customHeight="1" x14ac:dyDescent="0.2">
      <c r="E587" s="45"/>
      <c r="F587" s="45"/>
      <c r="G587" s="45"/>
      <c r="H587" s="45"/>
      <c r="I587" s="45"/>
    </row>
    <row r="588" spans="5:9" ht="15.75" customHeight="1" x14ac:dyDescent="0.2">
      <c r="E588" s="45"/>
      <c r="F588" s="45"/>
      <c r="G588" s="45"/>
      <c r="H588" s="45"/>
      <c r="I588" s="45"/>
    </row>
    <row r="589" spans="5:9" ht="15.75" customHeight="1" x14ac:dyDescent="0.2">
      <c r="E589" s="45"/>
      <c r="F589" s="45"/>
      <c r="G589" s="45"/>
      <c r="H589" s="45"/>
      <c r="I589" s="45"/>
    </row>
    <row r="590" spans="5:9" ht="15.75" customHeight="1" x14ac:dyDescent="0.2"/>
    <row r="591" spans="5:9" ht="15.75" customHeight="1" x14ac:dyDescent="0.2"/>
    <row r="592" spans="5:9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autoFilter ref="E11:G106" xr:uid="{00000000-0009-0000-0000-00000C000000}"/>
  <mergeCells count="4">
    <mergeCell ref="B2:G2"/>
    <mergeCell ref="I2:N2"/>
    <mergeCell ref="B4:C4"/>
    <mergeCell ref="I4:J4"/>
  </mergeCells>
  <conditionalFormatting sqref="F8">
    <cfRule type="cellIs" dxfId="15" priority="4" operator="greaterThan">
      <formula>300</formula>
    </cfRule>
    <cfRule type="cellIs" dxfId="14" priority="5" operator="between">
      <formula>1</formula>
      <formula>300</formula>
    </cfRule>
    <cfRule type="cellIs" dxfId="13" priority="6" operator="lessThan">
      <formula>0</formula>
    </cfRule>
  </conditionalFormatting>
  <conditionalFormatting sqref="M8">
    <cfRule type="cellIs" dxfId="12" priority="1" operator="greaterThan">
      <formula>300</formula>
    </cfRule>
    <cfRule type="cellIs" dxfId="11" priority="2" operator="between">
      <formula>1</formula>
      <formula>300</formula>
    </cfRule>
    <cfRule type="cellIs" dxfId="10" priority="3" operator="lessThan">
      <formula>0</formula>
    </cfRule>
  </conditionalFormatting>
  <printOptions horizontalCentered="1"/>
  <pageMargins left="0.4" right="0.4" top="0.4" bottom="0.4" header="0" footer="0"/>
  <pageSetup fitToHeight="0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275E852C-7A33-4F1B-A8D1-969D1C0478EF}">
          <x14:formula1>
            <xm:f>list!$A$1:$A$9</xm:f>
          </x14:formula1>
          <xm:sqref>G12:G25 N12:N25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998"/>
  <sheetViews>
    <sheetView workbookViewId="0">
      <selection activeCell="A4" sqref="A4"/>
    </sheetView>
  </sheetViews>
  <sheetFormatPr defaultColWidth="12.5703125" defaultRowHeight="15" customHeight="1" x14ac:dyDescent="0.2"/>
  <cols>
    <col min="1" max="1" width="31.28515625" bestFit="1" customWidth="1"/>
    <col min="2" max="6" width="8.7109375" customWidth="1"/>
    <col min="7" max="26" width="14.42578125" customWidth="1"/>
  </cols>
  <sheetData>
    <row r="1" spans="1:1" ht="12.75" customHeight="1" x14ac:dyDescent="0.2">
      <c r="A1" s="31" t="s">
        <v>76</v>
      </c>
    </row>
    <row r="2" spans="1:1" ht="12.75" customHeight="1" x14ac:dyDescent="0.2">
      <c r="A2" s="31" t="s">
        <v>13</v>
      </c>
    </row>
    <row r="3" spans="1:1" ht="12.75" customHeight="1" x14ac:dyDescent="0.2">
      <c r="A3" s="31" t="s">
        <v>128</v>
      </c>
    </row>
    <row r="4" spans="1:1" ht="12.75" customHeight="1" x14ac:dyDescent="0.2">
      <c r="A4" s="31" t="s">
        <v>18</v>
      </c>
    </row>
    <row r="5" spans="1:1" ht="12.75" customHeight="1" x14ac:dyDescent="0.2">
      <c r="A5" s="31" t="s">
        <v>20</v>
      </c>
    </row>
    <row r="6" spans="1:1" ht="12.75" customHeight="1" x14ac:dyDescent="0.2">
      <c r="A6" s="31" t="s">
        <v>22</v>
      </c>
    </row>
    <row r="7" spans="1:1" ht="12.75" customHeight="1" x14ac:dyDescent="0.2">
      <c r="A7" s="31" t="s">
        <v>25</v>
      </c>
    </row>
    <row r="8" spans="1:1" ht="12.75" customHeight="1" x14ac:dyDescent="0.2">
      <c r="A8" s="31" t="s">
        <v>1</v>
      </c>
    </row>
    <row r="9" spans="1:1" ht="12.75" customHeight="1" x14ac:dyDescent="0.2">
      <c r="A9" s="31" t="s">
        <v>29</v>
      </c>
    </row>
    <row r="10" spans="1:1" ht="12.75" customHeight="1" x14ac:dyDescent="0.2"/>
    <row r="11" spans="1:1" ht="12.75" customHeight="1" x14ac:dyDescent="0.2"/>
    <row r="12" spans="1:1" ht="12.75" customHeight="1" x14ac:dyDescent="0.2"/>
    <row r="13" spans="1:1" ht="12.75" customHeight="1" x14ac:dyDescent="0.2"/>
    <row r="14" spans="1:1" ht="12.75" customHeight="1" x14ac:dyDescent="0.2"/>
    <row r="15" spans="1:1" ht="12.75" customHeight="1" x14ac:dyDescent="0.2"/>
    <row r="16" spans="1:1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Pay dates</vt:lpstr>
      <vt:lpstr>Summary</vt:lpstr>
      <vt:lpstr>Mar-26</vt:lpstr>
      <vt:lpstr>Feb-26</vt:lpstr>
      <vt:lpstr>Jan-26</vt:lpstr>
      <vt:lpstr>Next house</vt:lpstr>
      <vt:lpstr>expenses</vt:lpstr>
      <vt:lpstr>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Fabricio Rocha</cp:lastModifiedBy>
  <cp:revision/>
  <dcterms:created xsi:type="dcterms:W3CDTF">2023-01-01T13:49:35Z</dcterms:created>
  <dcterms:modified xsi:type="dcterms:W3CDTF">2026-03-02T11:11:56Z</dcterms:modified>
  <cp:category/>
  <cp:contentStatus/>
</cp:coreProperties>
</file>